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<sst xmlns="http://schemas.openxmlformats.org/spreadsheetml/2006/main" count="51" uniqueCount="46">
  <si>
    <t>Test Case Information</t>
  </si>
  <si>
    <t>Test Case Status</t>
  </si>
  <si>
    <t>Test Case Priority</t>
  </si>
  <si>
    <t>Automation Status</t>
  </si>
  <si>
    <t>Feature Name</t>
  </si>
  <si>
    <t>Test Case Passed</t>
  </si>
  <si>
    <t>P0 - Critical</t>
  </si>
  <si>
    <t>Automation Status Manual Only</t>
  </si>
  <si>
    <t>Created By</t>
  </si>
  <si>
    <t>Test Case On Progress</t>
  </si>
  <si>
    <t>P1 - High</t>
  </si>
  <si>
    <t>Automation Status To Be Automate</t>
  </si>
  <si>
    <t>Created Date</t>
  </si>
  <si>
    <t>Test Case Untested</t>
  </si>
  <si>
    <t>P2 - Medium</t>
  </si>
  <si>
    <t>Automation Status Already Automate</t>
  </si>
  <si>
    <t>Approve By</t>
  </si>
  <si>
    <t>Test Case Blocked</t>
  </si>
  <si>
    <t>P2 - Low</t>
  </si>
  <si>
    <t>Total Automation Status</t>
  </si>
  <si>
    <t>Updated By</t>
  </si>
  <si>
    <t>Test Case Failed</t>
  </si>
  <si>
    <t>Updated Date</t>
  </si>
  <si>
    <t>Test Case Retest</t>
  </si>
  <si>
    <t>Total Test Case</t>
  </si>
  <si>
    <t>TC ID</t>
  </si>
  <si>
    <t>Scenario</t>
  </si>
  <si>
    <t>Summary</t>
  </si>
  <si>
    <t>Test Type</t>
  </si>
  <si>
    <t>Priority</t>
  </si>
  <si>
    <t>Pre-Conditions</t>
  </si>
  <si>
    <t>Test Step</t>
  </si>
  <si>
    <t>Test Data</t>
  </si>
  <si>
    <t>Expected Result</t>
  </si>
  <si>
    <t>Actual Result</t>
  </si>
  <si>
    <t>Notes</t>
  </si>
  <si>
    <t>Passed</t>
  </si>
  <si>
    <t>To Be Automate</t>
  </si>
  <si>
    <t>On Progress</t>
  </si>
  <si>
    <t>Manual Only</t>
  </si>
  <si>
    <t>Untested</t>
  </si>
  <si>
    <t>Already Automate</t>
  </si>
  <si>
    <t>P3 - Low</t>
  </si>
  <si>
    <t>Blocked</t>
  </si>
  <si>
    <t>Failed</t>
  </si>
  <si>
    <t>Retest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</si>
</sst>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4">
    <font>
      <sz val="10.0"/>
      <color rgb="FF000000"/>
      <name val="Arial"/>
      <scheme val="minor"/>
    </font>
    <font>
      <color theme="1"/>
      <name val="JetBrains Mono"/>
    </font>
    <font>
      <b/>
      <color rgb="FFFFFFFF"/>
      <name val="JetBrains Mono"/>
    </font>
    <font/>
  </fonts>
  <fills count="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top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bottom"/>
    </xf>
    <xf borderId="1" fillId="2" fontId="2" numFmtId="0" xfId="0" applyAlignment="1" applyBorder="1" applyFont="1">
      <alignment horizontal="center" readingOrder="0"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3" fontId="1" numFmtId="0" xfId="0" applyAlignment="1" applyBorder="1" applyFont="1">
      <alignment readingOrder="0" shrinkToFit="0" vertical="top" wrapText="1"/>
    </xf>
    <xf borderId="1" fillId="0" fontId="1" numFmtId="164" xfId="0" applyAlignment="1" applyBorder="1" applyFont="1" applyNumberFormat="1">
      <alignment horizontal="left" shrinkToFit="0" vertical="top" wrapText="1"/>
    </xf>
    <xf borderId="1" fillId="0" fontId="1" numFmtId="0" xfId="0" applyAlignment="1" applyBorder="1" applyFont="1">
      <alignment readingOrder="0" vertical="top"/>
    </xf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5" fillId="2" fontId="2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shrinkToFit="0" vertical="top" wrapText="1"/>
    </xf>
    <xf borderId="1" fillId="4" fontId="1" numFmtId="0" xfId="0" applyAlignment="1" applyBorder="1" applyFill="1" applyFont="1">
      <alignment horizontal="left" readingOrder="0" shrinkToFit="0" vertical="top" wrapText="1"/>
    </xf>
    <xf borderId="11" fillId="0" fontId="1" numFmtId="0" xfId="0" applyAlignment="1" applyBorder="1" applyFont="1">
      <alignment horizontal="left" shrinkToFit="0" vertical="top" wrapText="1"/>
    </xf>
    <xf borderId="12" fillId="0" fontId="3" numFmtId="0" xfId="0" applyBorder="1" applyFont="1"/>
    <xf borderId="13" fillId="0" fontId="3" numFmtId="0" xfId="0" applyBorder="1" applyFont="1"/>
    <xf borderId="1" fillId="0" fontId="1" numFmtId="0" xfId="0" applyAlignment="1" applyBorder="1" applyFont="1">
      <alignment horizontal="left" readingOrder="0" vertical="top"/>
    </xf>
    <xf borderId="11" fillId="0" fontId="1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</row>
    <row r="2">
      <c r="A2" s="1"/>
      <c r="B2" s="3" t="s">
        <v>0</v>
      </c>
      <c r="C2" s="4"/>
      <c r="D2" s="4"/>
      <c r="E2" s="4"/>
      <c r="F2" s="5"/>
      <c r="G2" s="6"/>
      <c r="H2" s="3" t="s">
        <v>1</v>
      </c>
      <c r="I2" s="4"/>
      <c r="J2" s="4"/>
      <c r="K2" s="5"/>
      <c r="L2" s="6"/>
      <c r="M2" s="7" t="s">
        <v>2</v>
      </c>
      <c r="N2" s="4"/>
      <c r="O2" s="4"/>
      <c r="P2" s="5"/>
      <c r="R2" s="3" t="s">
        <v>3</v>
      </c>
      <c r="S2" s="4"/>
      <c r="T2" s="4"/>
      <c r="U2" s="4"/>
      <c r="V2" s="5"/>
      <c r="W2" s="2"/>
      <c r="X2" s="2"/>
      <c r="Y2" s="2"/>
      <c r="Z2" s="2"/>
      <c r="AA2" s="2"/>
      <c r="AB2" s="2"/>
      <c r="AC2" s="2"/>
      <c r="AD2" s="2"/>
    </row>
    <row r="3">
      <c r="A3" s="1"/>
      <c r="B3" s="8" t="s">
        <v>4</v>
      </c>
      <c r="C3" s="5"/>
      <c r="D3" s="9"/>
      <c r="E3" s="4"/>
      <c r="F3" s="5"/>
      <c r="G3" s="6"/>
      <c r="H3" s="8" t="s">
        <v>5</v>
      </c>
      <c r="I3" s="5"/>
      <c r="J3" s="10">
        <f>COUNTIF(#REF! ,"Passed")</f>
        <v>0</v>
      </c>
      <c r="K3" s="5"/>
      <c r="L3" s="6"/>
      <c r="M3" s="11" t="s">
        <v>6</v>
      </c>
      <c r="N3" s="5"/>
      <c r="O3" s="10">
        <f>COUNTIF(I12:J238 ,"P0 - Critical")</f>
        <v>1</v>
      </c>
      <c r="P3" s="5"/>
      <c r="R3" s="11" t="s">
        <v>7</v>
      </c>
      <c r="S3" s="4"/>
      <c r="T3" s="5"/>
      <c r="U3" s="10">
        <f>COUNTIF(#REF!,"To Be Automate")</f>
        <v>0</v>
      </c>
      <c r="V3" s="5"/>
      <c r="W3" s="2"/>
      <c r="X3" s="2"/>
      <c r="Y3" s="2"/>
      <c r="Z3" s="2"/>
      <c r="AA3" s="2"/>
      <c r="AB3" s="2"/>
      <c r="AC3" s="2"/>
      <c r="AD3" s="2"/>
    </row>
    <row r="4">
      <c r="A4" s="1"/>
      <c r="B4" s="8" t="s">
        <v>8</v>
      </c>
      <c r="C4" s="5"/>
      <c r="D4" s="9"/>
      <c r="E4" s="4"/>
      <c r="F4" s="5"/>
      <c r="G4" s="6"/>
      <c r="H4" s="8" t="s">
        <v>9</v>
      </c>
      <c r="I4" s="5"/>
      <c r="J4" s="10">
        <f>COUNTIF(#REF!,"On Progress")</f>
        <v>0</v>
      </c>
      <c r="K4" s="5"/>
      <c r="L4" s="6"/>
      <c r="M4" s="11" t="s">
        <v>10</v>
      </c>
      <c r="N4" s="5"/>
      <c r="O4" s="10">
        <f>COUNTIF(I12:J238 ,"P1 - High")</f>
        <v>1</v>
      </c>
      <c r="P4" s="5"/>
      <c r="R4" s="11" t="s">
        <v>11</v>
      </c>
      <c r="S4" s="4"/>
      <c r="T4" s="5"/>
      <c r="U4" s="10">
        <f>COUNTIF(#REF!,"Manual Only")</f>
        <v>0</v>
      </c>
      <c r="V4" s="5"/>
      <c r="W4" s="2"/>
      <c r="X4" s="2"/>
      <c r="Y4" s="2"/>
      <c r="Z4" s="2"/>
      <c r="AA4" s="2"/>
      <c r="AB4" s="2"/>
      <c r="AC4" s="2"/>
      <c r="AD4" s="2"/>
    </row>
    <row r="5">
      <c r="A5" s="1"/>
      <c r="B5" s="8" t="s">
        <v>12</v>
      </c>
      <c r="C5" s="5"/>
      <c r="D5" s="12"/>
      <c r="E5" s="4"/>
      <c r="F5" s="5"/>
      <c r="G5" s="6"/>
      <c r="H5" s="8" t="s">
        <v>13</v>
      </c>
      <c r="I5" s="5"/>
      <c r="J5" s="10">
        <f>COUNTIF(#REF!,"Untested")</f>
        <v>0</v>
      </c>
      <c r="K5" s="5"/>
      <c r="L5" s="6"/>
      <c r="M5" s="11" t="s">
        <v>14</v>
      </c>
      <c r="N5" s="5"/>
      <c r="O5" s="10">
        <f>COUNTIF(I12:J238 ,"P2 - Medium")</f>
        <v>1</v>
      </c>
      <c r="P5" s="5"/>
      <c r="R5" s="11" t="s">
        <v>15</v>
      </c>
      <c r="S5" s="4"/>
      <c r="T5" s="5"/>
      <c r="U5" s="10">
        <f>COUNTIF(#REF!,"Already Automate")</f>
        <v>0</v>
      </c>
      <c r="V5" s="5"/>
      <c r="W5" s="2"/>
      <c r="X5" s="2"/>
      <c r="Y5" s="2"/>
      <c r="Z5" s="2"/>
      <c r="AA5" s="2"/>
      <c r="AB5" s="2"/>
      <c r="AC5" s="2"/>
      <c r="AD5" s="2"/>
    </row>
    <row r="6">
      <c r="A6" s="1"/>
      <c r="B6" s="8" t="s">
        <v>16</v>
      </c>
      <c r="C6" s="5"/>
      <c r="D6" s="13"/>
      <c r="E6" s="4"/>
      <c r="F6" s="5"/>
      <c r="G6" s="6"/>
      <c r="H6" s="8" t="s">
        <v>17</v>
      </c>
      <c r="I6" s="5"/>
      <c r="J6" s="10">
        <f>COUNTIF(#REF!,"Blocked")</f>
        <v>0</v>
      </c>
      <c r="K6" s="5"/>
      <c r="L6" s="6"/>
      <c r="M6" s="11" t="s">
        <v>18</v>
      </c>
      <c r="N6" s="5"/>
      <c r="O6" s="10">
        <f>COUNTIF(I12:J238 ,"P3 - Low")</f>
        <v>1</v>
      </c>
      <c r="P6" s="5"/>
      <c r="R6" s="8" t="s">
        <v>19</v>
      </c>
      <c r="S6" s="4"/>
      <c r="T6" s="5"/>
      <c r="U6" s="10">
        <f>SUM(U3:V5)</f>
        <v>0</v>
      </c>
      <c r="V6" s="5"/>
      <c r="W6" s="2"/>
      <c r="X6" s="2"/>
      <c r="Y6" s="2"/>
      <c r="Z6" s="2"/>
      <c r="AA6" s="2"/>
      <c r="AB6" s="2"/>
      <c r="AC6" s="2"/>
      <c r="AD6" s="2"/>
    </row>
    <row r="7">
      <c r="A7" s="1"/>
      <c r="B7" s="8" t="s">
        <v>20</v>
      </c>
      <c r="C7" s="5"/>
      <c r="D7" s="13"/>
      <c r="E7" s="4"/>
      <c r="F7" s="5"/>
      <c r="G7" s="6"/>
      <c r="H7" s="8" t="s">
        <v>21</v>
      </c>
      <c r="I7" s="5"/>
      <c r="J7" s="10">
        <f>COUNTIF(#REF!,"Failed")</f>
        <v>0</v>
      </c>
      <c r="K7" s="5"/>
      <c r="L7" s="6"/>
      <c r="M7" s="6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  <c r="AA7" s="2"/>
      <c r="AB7" s="2"/>
      <c r="AC7" s="2"/>
      <c r="AD7" s="2"/>
    </row>
    <row r="8">
      <c r="A8" s="1"/>
      <c r="B8" s="8" t="s">
        <v>22</v>
      </c>
      <c r="C8" s="5"/>
      <c r="D8" s="12"/>
      <c r="E8" s="4"/>
      <c r="F8" s="5"/>
      <c r="G8" s="6"/>
      <c r="H8" s="11" t="s">
        <v>23</v>
      </c>
      <c r="I8" s="5"/>
      <c r="J8" s="10">
        <f>COUNTIF(#REF!,"Retest")</f>
        <v>0</v>
      </c>
      <c r="K8" s="5"/>
      <c r="L8" s="6"/>
      <c r="M8" s="6"/>
      <c r="N8" s="6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2"/>
      <c r="AA8" s="2"/>
      <c r="AB8" s="2"/>
      <c r="AC8" s="2"/>
      <c r="AD8" s="2"/>
    </row>
    <row r="9">
      <c r="A9" s="1"/>
      <c r="B9" s="2"/>
      <c r="C9" s="2"/>
      <c r="D9" s="2"/>
      <c r="E9" s="2"/>
      <c r="F9" s="2"/>
      <c r="G9" s="6"/>
      <c r="H9" s="8" t="s">
        <v>24</v>
      </c>
      <c r="I9" s="5"/>
      <c r="J9" s="10">
        <f>SUM(J3:J7)</f>
        <v>0</v>
      </c>
      <c r="K9" s="5"/>
      <c r="L9" s="6"/>
      <c r="M9" s="6"/>
      <c r="N9" s="6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2"/>
      <c r="AA9" s="2"/>
      <c r="AB9" s="2"/>
      <c r="AC9" s="2"/>
      <c r="AD9" s="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4" t="s">
        <v>25</v>
      </c>
      <c r="B11" s="15" t="s">
        <v>26</v>
      </c>
      <c r="C11" s="16"/>
      <c r="D11" s="17" t="s">
        <v>27</v>
      </c>
      <c r="E11" s="18"/>
      <c r="F11" s="19"/>
      <c r="G11" s="20" t="s">
        <v>28</v>
      </c>
      <c r="H11" s="16"/>
      <c r="I11" s="20" t="s">
        <v>29</v>
      </c>
      <c r="J11" s="16"/>
      <c r="K11" s="21" t="s">
        <v>30</v>
      </c>
      <c r="L11" s="19"/>
      <c r="M11" s="17" t="s">
        <v>31</v>
      </c>
      <c r="N11" s="18"/>
      <c r="O11" s="19"/>
      <c r="P11" s="17" t="s">
        <v>32</v>
      </c>
      <c r="Q11" s="19"/>
      <c r="R11" s="21" t="s">
        <v>33</v>
      </c>
      <c r="S11" s="18"/>
      <c r="T11" s="19"/>
      <c r="U11" s="21" t="s">
        <v>34</v>
      </c>
      <c r="V11" s="18"/>
      <c r="W11" s="19"/>
      <c r="X11" s="17" t="s">
        <v>1</v>
      </c>
      <c r="Y11" s="19"/>
      <c r="Z11" s="17" t="s">
        <v>3</v>
      </c>
      <c r="AA11" s="19"/>
      <c r="AB11" s="17" t="s">
        <v>35</v>
      </c>
      <c r="AC11" s="18"/>
      <c r="AD11" s="19"/>
    </row>
    <row r="12">
      <c r="A12" s="22" t="str">
        <f t="shared" ref="A12:A238" si="1">"TC" &amp; TEXT((ROW()-ROW($A$11)), "0000")</f>
        <v>TC0001</v>
      </c>
      <c r="B12" s="23"/>
      <c r="C12" s="5"/>
      <c r="D12" s="24"/>
      <c r="E12" s="25"/>
      <c r="F12" s="26"/>
      <c r="G12" s="27"/>
      <c r="H12" s="5"/>
      <c r="I12" s="27" t="s">
        <v>6</v>
      </c>
      <c r="J12" s="5"/>
      <c r="K12" s="28"/>
      <c r="L12" s="26"/>
      <c r="M12" s="24"/>
      <c r="N12" s="25"/>
      <c r="O12" s="26"/>
      <c r="P12" s="28"/>
      <c r="Q12" s="26"/>
      <c r="R12" s="28"/>
      <c r="S12" s="25"/>
      <c r="T12" s="26"/>
      <c r="U12" s="28"/>
      <c r="V12" s="25"/>
      <c r="W12" s="26"/>
      <c r="X12" s="29" t="s">
        <v>36</v>
      </c>
      <c r="Y12" s="26"/>
      <c r="Z12" s="29" t="s">
        <v>37</v>
      </c>
      <c r="AA12" s="26"/>
      <c r="AB12" s="28"/>
      <c r="AC12" s="25"/>
      <c r="AD12" s="26"/>
    </row>
    <row r="13">
      <c r="A13" s="22" t="str">
        <f t="shared" si="1"/>
        <v>TC0002</v>
      </c>
      <c r="B13" s="23"/>
      <c r="C13" s="5"/>
      <c r="D13" s="24"/>
      <c r="E13" s="25"/>
      <c r="F13" s="26"/>
      <c r="G13" s="27"/>
      <c r="H13" s="5"/>
      <c r="I13" s="27" t="s">
        <v>10</v>
      </c>
      <c r="J13" s="5"/>
      <c r="K13" s="28"/>
      <c r="L13" s="26"/>
      <c r="M13" s="24"/>
      <c r="N13" s="25"/>
      <c r="O13" s="26"/>
      <c r="P13" s="28"/>
      <c r="Q13" s="26"/>
      <c r="R13" s="28"/>
      <c r="S13" s="25"/>
      <c r="T13" s="26"/>
      <c r="U13" s="28"/>
      <c r="V13" s="25"/>
      <c r="W13" s="26"/>
      <c r="X13" s="29" t="s">
        <v>38</v>
      </c>
      <c r="Y13" s="26"/>
      <c r="Z13" s="29" t="s">
        <v>39</v>
      </c>
      <c r="AA13" s="26"/>
      <c r="AB13" s="28"/>
      <c r="AC13" s="25"/>
      <c r="AD13" s="26"/>
    </row>
    <row r="14">
      <c r="A14" s="22" t="str">
        <f t="shared" si="1"/>
        <v>TC0003</v>
      </c>
      <c r="B14" s="23"/>
      <c r="C14" s="5"/>
      <c r="D14" s="24"/>
      <c r="E14" s="25"/>
      <c r="F14" s="26"/>
      <c r="G14" s="27"/>
      <c r="H14" s="5"/>
      <c r="I14" s="27" t="s">
        <v>14</v>
      </c>
      <c r="J14" s="5"/>
      <c r="K14" s="28"/>
      <c r="L14" s="26"/>
      <c r="M14" s="24"/>
      <c r="N14" s="25"/>
      <c r="O14" s="26"/>
      <c r="P14" s="28"/>
      <c r="Q14" s="26"/>
      <c r="R14" s="28"/>
      <c r="S14" s="25"/>
      <c r="T14" s="26"/>
      <c r="U14" s="28"/>
      <c r="V14" s="25"/>
      <c r="W14" s="26"/>
      <c r="X14" s="29" t="s">
        <v>40</v>
      </c>
      <c r="Y14" s="26"/>
      <c r="Z14" s="29" t="s">
        <v>41</v>
      </c>
      <c r="AA14" s="26"/>
      <c r="AB14" s="28"/>
      <c r="AC14" s="25"/>
      <c r="AD14" s="26"/>
    </row>
    <row r="15">
      <c r="A15" s="22" t="str">
        <f t="shared" si="1"/>
        <v>TC0004</v>
      </c>
      <c r="B15" s="23"/>
      <c r="C15" s="5"/>
      <c r="D15" s="24"/>
      <c r="E15" s="25"/>
      <c r="F15" s="26"/>
      <c r="G15" s="27"/>
      <c r="H15" s="5"/>
      <c r="I15" s="27" t="s">
        <v>42</v>
      </c>
      <c r="J15" s="5"/>
      <c r="K15" s="28"/>
      <c r="L15" s="26"/>
      <c r="M15" s="24"/>
      <c r="N15" s="25"/>
      <c r="O15" s="26"/>
      <c r="P15" s="28"/>
      <c r="Q15" s="26"/>
      <c r="R15" s="28"/>
      <c r="S15" s="25"/>
      <c r="T15" s="26"/>
      <c r="U15" s="28"/>
      <c r="V15" s="25"/>
      <c r="W15" s="26"/>
      <c r="X15" s="29" t="s">
        <v>43</v>
      </c>
      <c r="Y15" s="26"/>
      <c r="Z15" s="29"/>
      <c r="AA15" s="26"/>
      <c r="AB15" s="28"/>
      <c r="AC15" s="25"/>
      <c r="AD15" s="26"/>
    </row>
    <row r="16">
      <c r="A16" s="22" t="str">
        <f t="shared" si="1"/>
        <v>TC0005</v>
      </c>
      <c r="B16" s="23"/>
      <c r="C16" s="5"/>
      <c r="D16" s="24"/>
      <c r="E16" s="25"/>
      <c r="F16" s="26"/>
      <c r="G16" s="27"/>
      <c r="H16" s="5"/>
      <c r="I16" s="27"/>
      <c r="J16" s="5"/>
      <c r="K16" s="28"/>
      <c r="L16" s="26"/>
      <c r="M16" s="24"/>
      <c r="N16" s="25"/>
      <c r="O16" s="26"/>
      <c r="P16" s="28"/>
      <c r="Q16" s="26"/>
      <c r="R16" s="28"/>
      <c r="S16" s="25"/>
      <c r="T16" s="26"/>
      <c r="U16" s="28"/>
      <c r="V16" s="25"/>
      <c r="W16" s="26"/>
      <c r="X16" s="29" t="s">
        <v>44</v>
      </c>
      <c r="Y16" s="26"/>
      <c r="Z16" s="29"/>
      <c r="AA16" s="26"/>
      <c r="AB16" s="28"/>
      <c r="AC16" s="25"/>
      <c r="AD16" s="26"/>
    </row>
    <row r="17">
      <c r="A17" s="22" t="str">
        <f t="shared" si="1"/>
        <v>TC0006</v>
      </c>
      <c r="B17" s="23"/>
      <c r="C17" s="5"/>
      <c r="D17" s="24"/>
      <c r="E17" s="25"/>
      <c r="F17" s="26"/>
      <c r="G17" s="27"/>
      <c r="H17" s="5"/>
      <c r="I17" s="27"/>
      <c r="J17" s="5"/>
      <c r="K17" s="28"/>
      <c r="L17" s="26"/>
      <c r="M17" s="24"/>
      <c r="N17" s="25"/>
      <c r="O17" s="26"/>
      <c r="P17" s="28"/>
      <c r="Q17" s="26"/>
      <c r="R17" s="28"/>
      <c r="S17" s="25"/>
      <c r="T17" s="26"/>
      <c r="U17" s="28"/>
      <c r="V17" s="25"/>
      <c r="W17" s="26"/>
      <c r="X17" s="29" t="s">
        <v>45</v>
      </c>
      <c r="Y17" s="26"/>
      <c r="Z17" s="29"/>
      <c r="AA17" s="26"/>
      <c r="AB17" s="28"/>
      <c r="AC17" s="25"/>
      <c r="AD17" s="26"/>
    </row>
    <row r="18">
      <c r="A18" s="22" t="str">
        <f t="shared" si="1"/>
        <v>TC0007</v>
      </c>
      <c r="B18" s="23"/>
      <c r="C18" s="5"/>
      <c r="D18" s="24"/>
      <c r="E18" s="25"/>
      <c r="F18" s="26"/>
      <c r="G18" s="27"/>
      <c r="H18" s="5"/>
      <c r="I18" s="27"/>
      <c r="J18" s="5"/>
      <c r="K18" s="28"/>
      <c r="L18" s="26"/>
      <c r="M18" s="24"/>
      <c r="N18" s="25"/>
      <c r="O18" s="26"/>
      <c r="P18" s="28"/>
      <c r="Q18" s="26"/>
      <c r="R18" s="28"/>
      <c r="S18" s="25"/>
      <c r="T18" s="26"/>
      <c r="U18" s="28"/>
      <c r="V18" s="25"/>
      <c r="W18" s="26"/>
      <c r="X18" s="29"/>
      <c r="Y18" s="26"/>
      <c r="Z18" s="29"/>
      <c r="AA18" s="26"/>
      <c r="AB18" s="28"/>
      <c r="AC18" s="25"/>
      <c r="AD18" s="26"/>
    </row>
    <row r="19">
      <c r="A19" s="22" t="str">
        <f t="shared" si="1"/>
        <v>TC0008</v>
      </c>
      <c r="B19" s="23"/>
      <c r="C19" s="5"/>
      <c r="D19" s="24"/>
      <c r="E19" s="25"/>
      <c r="F19" s="26"/>
      <c r="G19" s="27"/>
      <c r="H19" s="5"/>
      <c r="I19" s="27"/>
      <c r="J19" s="5"/>
      <c r="K19" s="28"/>
      <c r="L19" s="26"/>
      <c r="M19" s="24"/>
      <c r="N19" s="25"/>
      <c r="O19" s="26"/>
      <c r="P19" s="28"/>
      <c r="Q19" s="26"/>
      <c r="R19" s="28"/>
      <c r="S19" s="25"/>
      <c r="T19" s="26"/>
      <c r="U19" s="28"/>
      <c r="V19" s="25"/>
      <c r="W19" s="26"/>
      <c r="X19" s="29"/>
      <c r="Y19" s="26"/>
      <c r="Z19" s="29"/>
      <c r="AA19" s="26"/>
      <c r="AB19" s="28"/>
      <c r="AC19" s="25"/>
      <c r="AD19" s="26"/>
    </row>
    <row r="20">
      <c r="A20" s="22" t="str">
        <f t="shared" si="1"/>
        <v>TC0009</v>
      </c>
      <c r="B20" s="23"/>
      <c r="C20" s="5"/>
      <c r="D20" s="24"/>
      <c r="E20" s="25"/>
      <c r="F20" s="26"/>
      <c r="G20" s="27"/>
      <c r="H20" s="5"/>
      <c r="I20" s="27"/>
      <c r="J20" s="5"/>
      <c r="K20" s="28"/>
      <c r="L20" s="26"/>
      <c r="M20" s="24"/>
      <c r="N20" s="25"/>
      <c r="O20" s="26"/>
      <c r="P20" s="28"/>
      <c r="Q20" s="26"/>
      <c r="R20" s="28"/>
      <c r="S20" s="25"/>
      <c r="T20" s="26"/>
      <c r="U20" s="28"/>
      <c r="V20" s="25"/>
      <c r="W20" s="26"/>
      <c r="X20" s="29"/>
      <c r="Y20" s="26"/>
      <c r="Z20" s="29"/>
      <c r="AA20" s="26"/>
      <c r="AB20" s="28"/>
      <c r="AC20" s="25"/>
      <c r="AD20" s="26"/>
    </row>
    <row r="21">
      <c r="A21" s="22" t="str">
        <f t="shared" si="1"/>
        <v>TC0010</v>
      </c>
      <c r="B21" s="23"/>
      <c r="C21" s="5"/>
      <c r="D21" s="24"/>
      <c r="E21" s="25"/>
      <c r="F21" s="26"/>
      <c r="G21" s="27"/>
      <c r="H21" s="5"/>
      <c r="I21" s="27"/>
      <c r="J21" s="5"/>
      <c r="K21" s="28"/>
      <c r="L21" s="26"/>
      <c r="M21" s="24"/>
      <c r="N21" s="25"/>
      <c r="O21" s="26"/>
      <c r="P21" s="28"/>
      <c r="Q21" s="26"/>
      <c r="R21" s="28"/>
      <c r="S21" s="25"/>
      <c r="T21" s="26"/>
      <c r="U21" s="28"/>
      <c r="V21" s="25"/>
      <c r="W21" s="26"/>
      <c r="X21" s="29"/>
      <c r="Y21" s="26"/>
      <c r="Z21" s="29"/>
      <c r="AA21" s="26"/>
      <c r="AB21" s="28"/>
      <c r="AC21" s="25"/>
      <c r="AD21" s="26"/>
    </row>
    <row r="22">
      <c r="A22" s="22" t="str">
        <f t="shared" si="1"/>
        <v>TC0011</v>
      </c>
      <c r="B22" s="23"/>
      <c r="C22" s="5"/>
      <c r="D22" s="24"/>
      <c r="E22" s="25"/>
      <c r="F22" s="26"/>
      <c r="G22" s="27"/>
      <c r="H22" s="5"/>
      <c r="I22" s="27"/>
      <c r="J22" s="5"/>
      <c r="K22" s="28"/>
      <c r="L22" s="26"/>
      <c r="M22" s="24"/>
      <c r="N22" s="25"/>
      <c r="O22" s="26"/>
      <c r="P22" s="28"/>
      <c r="Q22" s="26"/>
      <c r="R22" s="28"/>
      <c r="S22" s="25"/>
      <c r="T22" s="26"/>
      <c r="U22" s="28"/>
      <c r="V22" s="25"/>
      <c r="W22" s="26"/>
      <c r="X22" s="29"/>
      <c r="Y22" s="26"/>
      <c r="Z22" s="29"/>
      <c r="AA22" s="26"/>
      <c r="AB22" s="28"/>
      <c r="AC22" s="25"/>
      <c r="AD22" s="26"/>
    </row>
    <row r="23">
      <c r="A23" s="22" t="str">
        <f t="shared" si="1"/>
        <v>TC0012</v>
      </c>
      <c r="B23" s="23"/>
      <c r="C23" s="5"/>
      <c r="D23" s="24"/>
      <c r="E23" s="25"/>
      <c r="F23" s="26"/>
      <c r="G23" s="27"/>
      <c r="H23" s="5"/>
      <c r="I23" s="27"/>
      <c r="J23" s="5"/>
      <c r="K23" s="28"/>
      <c r="L23" s="26"/>
      <c r="M23" s="24"/>
      <c r="N23" s="25"/>
      <c r="O23" s="26"/>
      <c r="P23" s="28"/>
      <c r="Q23" s="26"/>
      <c r="R23" s="28"/>
      <c r="S23" s="25"/>
      <c r="T23" s="26"/>
      <c r="U23" s="28"/>
      <c r="V23" s="25"/>
      <c r="W23" s="26"/>
      <c r="X23" s="29"/>
      <c r="Y23" s="26"/>
      <c r="Z23" s="29"/>
      <c r="AA23" s="26"/>
      <c r="AB23" s="28"/>
      <c r="AC23" s="25"/>
      <c r="AD23" s="26"/>
    </row>
    <row r="24">
      <c r="A24" s="22" t="str">
        <f t="shared" si="1"/>
        <v>TC0013</v>
      </c>
      <c r="B24" s="23"/>
      <c r="C24" s="5"/>
      <c r="D24" s="24"/>
      <c r="E24" s="25"/>
      <c r="F24" s="26"/>
      <c r="G24" s="27"/>
      <c r="H24" s="5"/>
      <c r="I24" s="27"/>
      <c r="J24" s="5"/>
      <c r="K24" s="28"/>
      <c r="L24" s="26"/>
      <c r="M24" s="24"/>
      <c r="N24" s="25"/>
      <c r="O24" s="26"/>
      <c r="P24" s="28"/>
      <c r="Q24" s="26"/>
      <c r="R24" s="28"/>
      <c r="S24" s="25"/>
      <c r="T24" s="26"/>
      <c r="U24" s="28"/>
      <c r="V24" s="25"/>
      <c r="W24" s="26"/>
      <c r="X24" s="29"/>
      <c r="Y24" s="26"/>
      <c r="Z24" s="29"/>
      <c r="AA24" s="26"/>
      <c r="AB24" s="28"/>
      <c r="AC24" s="25"/>
      <c r="AD24" s="26"/>
    </row>
    <row r="25">
      <c r="A25" s="22" t="str">
        <f t="shared" si="1"/>
        <v>TC0014</v>
      </c>
      <c r="B25" s="23"/>
      <c r="C25" s="5"/>
      <c r="D25" s="24"/>
      <c r="E25" s="25"/>
      <c r="F25" s="26"/>
      <c r="G25" s="27"/>
      <c r="H25" s="5"/>
      <c r="I25" s="27"/>
      <c r="J25" s="5"/>
      <c r="K25" s="28"/>
      <c r="L25" s="26"/>
      <c r="M25" s="24"/>
      <c r="N25" s="25"/>
      <c r="O25" s="26"/>
      <c r="P25" s="28"/>
      <c r="Q25" s="26"/>
      <c r="R25" s="28"/>
      <c r="S25" s="25"/>
      <c r="T25" s="26"/>
      <c r="U25" s="28"/>
      <c r="V25" s="25"/>
      <c r="W25" s="26"/>
      <c r="X25" s="29"/>
      <c r="Y25" s="26"/>
      <c r="Z25" s="29"/>
      <c r="AA25" s="26"/>
      <c r="AB25" s="28"/>
      <c r="AC25" s="25"/>
      <c r="AD25" s="26"/>
    </row>
    <row r="26">
      <c r="A26" s="22" t="str">
        <f t="shared" si="1"/>
        <v>TC0015</v>
      </c>
      <c r="B26" s="23"/>
      <c r="C26" s="5"/>
      <c r="D26" s="24"/>
      <c r="E26" s="25"/>
      <c r="F26" s="26"/>
      <c r="G26" s="27"/>
      <c r="H26" s="5"/>
      <c r="I26" s="27"/>
      <c r="J26" s="5"/>
      <c r="K26" s="28"/>
      <c r="L26" s="26"/>
      <c r="M26" s="24"/>
      <c r="N26" s="25"/>
      <c r="O26" s="26"/>
      <c r="P26" s="28"/>
      <c r="Q26" s="26"/>
      <c r="R26" s="28"/>
      <c r="S26" s="25"/>
      <c r="T26" s="26"/>
      <c r="U26" s="28"/>
      <c r="V26" s="25"/>
      <c r="W26" s="26"/>
      <c r="X26" s="29"/>
      <c r="Y26" s="26"/>
      <c r="Z26" s="29"/>
      <c r="AA26" s="26"/>
      <c r="AB26" s="28"/>
      <c r="AC26" s="25"/>
      <c r="AD26" s="26"/>
    </row>
    <row r="27">
      <c r="A27" s="22" t="str">
        <f t="shared" si="1"/>
        <v>TC0016</v>
      </c>
      <c r="B27" s="23"/>
      <c r="C27" s="5"/>
      <c r="D27" s="24"/>
      <c r="E27" s="25"/>
      <c r="F27" s="26"/>
      <c r="G27" s="27"/>
      <c r="H27" s="5"/>
      <c r="I27" s="27"/>
      <c r="J27" s="5"/>
      <c r="K27" s="28"/>
      <c r="L27" s="26"/>
      <c r="M27" s="24"/>
      <c r="N27" s="25"/>
      <c r="O27" s="26"/>
      <c r="P27" s="28"/>
      <c r="Q27" s="26"/>
      <c r="R27" s="28"/>
      <c r="S27" s="25"/>
      <c r="T27" s="26"/>
      <c r="U27" s="28"/>
      <c r="V27" s="25"/>
      <c r="W27" s="26"/>
      <c r="X27" s="29"/>
      <c r="Y27" s="26"/>
      <c r="Z27" s="29"/>
      <c r="AA27" s="26"/>
      <c r="AB27" s="28"/>
      <c r="AC27" s="25"/>
      <c r="AD27" s="26"/>
    </row>
    <row r="28">
      <c r="A28" s="22" t="str">
        <f t="shared" si="1"/>
        <v>TC0017</v>
      </c>
      <c r="B28" s="23"/>
      <c r="C28" s="5"/>
      <c r="D28" s="24"/>
      <c r="E28" s="25"/>
      <c r="F28" s="26"/>
      <c r="G28" s="27"/>
      <c r="H28" s="5"/>
      <c r="I28" s="27"/>
      <c r="J28" s="5"/>
      <c r="K28" s="28"/>
      <c r="L28" s="26"/>
      <c r="M28" s="24"/>
      <c r="N28" s="25"/>
      <c r="O28" s="26"/>
      <c r="P28" s="28"/>
      <c r="Q28" s="26"/>
      <c r="R28" s="28"/>
      <c r="S28" s="25"/>
      <c r="T28" s="26"/>
      <c r="U28" s="28"/>
      <c r="V28" s="25"/>
      <c r="W28" s="26"/>
      <c r="X28" s="29"/>
      <c r="Y28" s="26"/>
      <c r="Z28" s="29"/>
      <c r="AA28" s="26"/>
      <c r="AB28" s="28"/>
      <c r="AC28" s="25"/>
      <c r="AD28" s="26"/>
    </row>
    <row r="29">
      <c r="A29" s="22" t="str">
        <f t="shared" si="1"/>
        <v>TC0018</v>
      </c>
      <c r="B29" s="23"/>
      <c r="C29" s="5"/>
      <c r="D29" s="24"/>
      <c r="E29" s="25"/>
      <c r="F29" s="26"/>
      <c r="G29" s="27"/>
      <c r="H29" s="5"/>
      <c r="I29" s="27"/>
      <c r="J29" s="5"/>
      <c r="K29" s="28"/>
      <c r="L29" s="26"/>
      <c r="M29" s="24"/>
      <c r="N29" s="25"/>
      <c r="O29" s="26"/>
      <c r="P29" s="28"/>
      <c r="Q29" s="26"/>
      <c r="R29" s="28"/>
      <c r="S29" s="25"/>
      <c r="T29" s="26"/>
      <c r="U29" s="28"/>
      <c r="V29" s="25"/>
      <c r="W29" s="26"/>
      <c r="X29" s="29"/>
      <c r="Y29" s="26"/>
      <c r="Z29" s="29"/>
      <c r="AA29" s="26"/>
      <c r="AB29" s="28"/>
      <c r="AC29" s="25"/>
      <c r="AD29" s="26"/>
    </row>
    <row r="30">
      <c r="A30" s="22" t="str">
        <f t="shared" si="1"/>
        <v>TC0019</v>
      </c>
      <c r="B30" s="23"/>
      <c r="C30" s="5"/>
      <c r="D30" s="24"/>
      <c r="E30" s="25"/>
      <c r="F30" s="26"/>
      <c r="G30" s="27"/>
      <c r="H30" s="5"/>
      <c r="I30" s="27"/>
      <c r="J30" s="5"/>
      <c r="K30" s="28"/>
      <c r="L30" s="26"/>
      <c r="M30" s="24"/>
      <c r="N30" s="25"/>
      <c r="O30" s="26"/>
      <c r="P30" s="28"/>
      <c r="Q30" s="26"/>
      <c r="R30" s="28"/>
      <c r="S30" s="25"/>
      <c r="T30" s="26"/>
      <c r="U30" s="28"/>
      <c r="V30" s="25"/>
      <c r="W30" s="26"/>
      <c r="X30" s="29"/>
      <c r="Y30" s="26"/>
      <c r="Z30" s="29"/>
      <c r="AA30" s="26"/>
      <c r="AB30" s="28"/>
      <c r="AC30" s="25"/>
      <c r="AD30" s="26"/>
    </row>
    <row r="31">
      <c r="A31" s="22" t="str">
        <f t="shared" si="1"/>
        <v>TC0020</v>
      </c>
      <c r="B31" s="23"/>
      <c r="C31" s="5"/>
      <c r="D31" s="24"/>
      <c r="E31" s="25"/>
      <c r="F31" s="26"/>
      <c r="G31" s="27"/>
      <c r="H31" s="5"/>
      <c r="I31" s="27"/>
      <c r="J31" s="5"/>
      <c r="K31" s="28"/>
      <c r="L31" s="26"/>
      <c r="M31" s="24"/>
      <c r="N31" s="25"/>
      <c r="O31" s="26"/>
      <c r="P31" s="28"/>
      <c r="Q31" s="26"/>
      <c r="R31" s="28"/>
      <c r="S31" s="25"/>
      <c r="T31" s="26"/>
      <c r="U31" s="28"/>
      <c r="V31" s="25"/>
      <c r="W31" s="26"/>
      <c r="X31" s="29"/>
      <c r="Y31" s="26"/>
      <c r="Z31" s="29"/>
      <c r="AA31" s="26"/>
      <c r="AB31" s="28"/>
      <c r="AC31" s="25"/>
      <c r="AD31" s="26"/>
    </row>
    <row r="32">
      <c r="A32" s="22" t="str">
        <f t="shared" si="1"/>
        <v>TC0021</v>
      </c>
      <c r="B32" s="23"/>
      <c r="C32" s="5"/>
      <c r="D32" s="24"/>
      <c r="E32" s="25"/>
      <c r="F32" s="26"/>
      <c r="G32" s="27"/>
      <c r="H32" s="5"/>
      <c r="I32" s="27"/>
      <c r="J32" s="5"/>
      <c r="K32" s="28"/>
      <c r="L32" s="26"/>
      <c r="M32" s="24"/>
      <c r="N32" s="25"/>
      <c r="O32" s="26"/>
      <c r="P32" s="28"/>
      <c r="Q32" s="26"/>
      <c r="R32" s="28"/>
      <c r="S32" s="25"/>
      <c r="T32" s="26"/>
      <c r="U32" s="28"/>
      <c r="V32" s="25"/>
      <c r="W32" s="26"/>
      <c r="X32" s="29"/>
      <c r="Y32" s="26"/>
      <c r="Z32" s="29"/>
      <c r="AA32" s="26"/>
      <c r="AB32" s="28"/>
      <c r="AC32" s="25"/>
      <c r="AD32" s="26"/>
    </row>
    <row r="33">
      <c r="A33" s="22" t="str">
        <f t="shared" si="1"/>
        <v>TC0022</v>
      </c>
      <c r="B33" s="23"/>
      <c r="C33" s="5"/>
      <c r="D33" s="24"/>
      <c r="E33" s="25"/>
      <c r="F33" s="26"/>
      <c r="G33" s="27"/>
      <c r="H33" s="5"/>
      <c r="I33" s="27"/>
      <c r="J33" s="5"/>
      <c r="K33" s="28"/>
      <c r="L33" s="26"/>
      <c r="M33" s="24"/>
      <c r="N33" s="25"/>
      <c r="O33" s="26"/>
      <c r="P33" s="28"/>
      <c r="Q33" s="26"/>
      <c r="R33" s="28"/>
      <c r="S33" s="25"/>
      <c r="T33" s="26"/>
      <c r="U33" s="28"/>
      <c r="V33" s="25"/>
      <c r="W33" s="26"/>
      <c r="X33" s="29"/>
      <c r="Y33" s="26"/>
      <c r="Z33" s="29"/>
      <c r="AA33" s="26"/>
      <c r="AB33" s="28"/>
      <c r="AC33" s="25"/>
      <c r="AD33" s="26"/>
    </row>
    <row r="34">
      <c r="A34" s="22" t="str">
        <f t="shared" si="1"/>
        <v>TC0023</v>
      </c>
      <c r="B34" s="23"/>
      <c r="C34" s="5"/>
      <c r="D34" s="24"/>
      <c r="E34" s="25"/>
      <c r="F34" s="26"/>
      <c r="G34" s="27"/>
      <c r="H34" s="5"/>
      <c r="I34" s="27"/>
      <c r="J34" s="5"/>
      <c r="K34" s="28"/>
      <c r="L34" s="26"/>
      <c r="M34" s="24"/>
      <c r="N34" s="25"/>
      <c r="O34" s="26"/>
      <c r="P34" s="28"/>
      <c r="Q34" s="26"/>
      <c r="R34" s="28"/>
      <c r="S34" s="25"/>
      <c r="T34" s="26"/>
      <c r="U34" s="28"/>
      <c r="V34" s="25"/>
      <c r="W34" s="26"/>
      <c r="X34" s="29"/>
      <c r="Y34" s="26"/>
      <c r="Z34" s="29"/>
      <c r="AA34" s="26"/>
      <c r="AB34" s="28"/>
      <c r="AC34" s="25"/>
      <c r="AD34" s="26"/>
    </row>
    <row r="35">
      <c r="A35" s="22" t="str">
        <f t="shared" si="1"/>
        <v>TC0024</v>
      </c>
      <c r="B35" s="23"/>
      <c r="C35" s="5"/>
      <c r="D35" s="24"/>
      <c r="E35" s="25"/>
      <c r="F35" s="26"/>
      <c r="G35" s="27"/>
      <c r="H35" s="5"/>
      <c r="I35" s="27"/>
      <c r="J35" s="5"/>
      <c r="K35" s="28"/>
      <c r="L35" s="26"/>
      <c r="M35" s="24"/>
      <c r="N35" s="25"/>
      <c r="O35" s="26"/>
      <c r="P35" s="28"/>
      <c r="Q35" s="26"/>
      <c r="R35" s="28"/>
      <c r="S35" s="25"/>
      <c r="T35" s="26"/>
      <c r="U35" s="28"/>
      <c r="V35" s="25"/>
      <c r="W35" s="26"/>
      <c r="X35" s="29"/>
      <c r="Y35" s="26"/>
      <c r="Z35" s="29"/>
      <c r="AA35" s="26"/>
      <c r="AB35" s="28"/>
      <c r="AC35" s="25"/>
      <c r="AD35" s="26"/>
    </row>
    <row r="36">
      <c r="A36" s="22" t="str">
        <f t="shared" si="1"/>
        <v>TC0025</v>
      </c>
      <c r="B36" s="23"/>
      <c r="C36" s="5"/>
      <c r="D36" s="24"/>
      <c r="E36" s="25"/>
      <c r="F36" s="26"/>
      <c r="G36" s="27"/>
      <c r="H36" s="5"/>
      <c r="I36" s="27"/>
      <c r="J36" s="5"/>
      <c r="K36" s="28"/>
      <c r="L36" s="26"/>
      <c r="M36" s="24"/>
      <c r="N36" s="25"/>
      <c r="O36" s="26"/>
      <c r="P36" s="28"/>
      <c r="Q36" s="26"/>
      <c r="R36" s="28"/>
      <c r="S36" s="25"/>
      <c r="T36" s="26"/>
      <c r="U36" s="28"/>
      <c r="V36" s="25"/>
      <c r="W36" s="26"/>
      <c r="X36" s="29"/>
      <c r="Y36" s="26"/>
      <c r="Z36" s="29"/>
      <c r="AA36" s="26"/>
      <c r="AB36" s="28"/>
      <c r="AC36" s="25"/>
      <c r="AD36" s="26"/>
    </row>
    <row r="37">
      <c r="A37" s="22" t="str">
        <f t="shared" si="1"/>
        <v>TC0026</v>
      </c>
      <c r="B37" s="23"/>
      <c r="C37" s="5"/>
      <c r="D37" s="24"/>
      <c r="E37" s="25"/>
      <c r="F37" s="26"/>
      <c r="G37" s="27"/>
      <c r="H37" s="5"/>
      <c r="I37" s="27"/>
      <c r="J37" s="5"/>
      <c r="K37" s="28"/>
      <c r="L37" s="26"/>
      <c r="M37" s="24"/>
      <c r="N37" s="25"/>
      <c r="O37" s="26"/>
      <c r="P37" s="28"/>
      <c r="Q37" s="26"/>
      <c r="R37" s="28"/>
      <c r="S37" s="25"/>
      <c r="T37" s="26"/>
      <c r="U37" s="28"/>
      <c r="V37" s="25"/>
      <c r="W37" s="26"/>
      <c r="X37" s="29"/>
      <c r="Y37" s="26"/>
      <c r="Z37" s="29"/>
      <c r="AA37" s="26"/>
      <c r="AB37" s="28"/>
      <c r="AC37" s="25"/>
      <c r="AD37" s="26"/>
    </row>
    <row r="38">
      <c r="A38" s="22" t="str">
        <f t="shared" si="1"/>
        <v>TC0027</v>
      </c>
      <c r="B38" s="23"/>
      <c r="C38" s="5"/>
      <c r="D38" s="24"/>
      <c r="E38" s="25"/>
      <c r="F38" s="26"/>
      <c r="G38" s="27"/>
      <c r="H38" s="5"/>
      <c r="I38" s="27"/>
      <c r="J38" s="5"/>
      <c r="K38" s="28"/>
      <c r="L38" s="26"/>
      <c r="M38" s="24"/>
      <c r="N38" s="25"/>
      <c r="O38" s="26"/>
      <c r="P38" s="28"/>
      <c r="Q38" s="26"/>
      <c r="R38" s="28"/>
      <c r="S38" s="25"/>
      <c r="T38" s="26"/>
      <c r="U38" s="28"/>
      <c r="V38" s="25"/>
      <c r="W38" s="26"/>
      <c r="X38" s="29"/>
      <c r="Y38" s="26"/>
      <c r="Z38" s="29"/>
      <c r="AA38" s="26"/>
      <c r="AB38" s="28"/>
      <c r="AC38" s="25"/>
      <c r="AD38" s="26"/>
    </row>
    <row r="39">
      <c r="A39" s="22" t="str">
        <f t="shared" si="1"/>
        <v>TC0028</v>
      </c>
      <c r="B39" s="23"/>
      <c r="C39" s="5"/>
      <c r="D39" s="24"/>
      <c r="E39" s="25"/>
      <c r="F39" s="26"/>
      <c r="G39" s="27"/>
      <c r="H39" s="5"/>
      <c r="I39" s="27"/>
      <c r="J39" s="5"/>
      <c r="K39" s="28"/>
      <c r="L39" s="26"/>
      <c r="M39" s="24"/>
      <c r="N39" s="25"/>
      <c r="O39" s="26"/>
      <c r="P39" s="28"/>
      <c r="Q39" s="26"/>
      <c r="R39" s="28"/>
      <c r="S39" s="25"/>
      <c r="T39" s="26"/>
      <c r="U39" s="28"/>
      <c r="V39" s="25"/>
      <c r="W39" s="26"/>
      <c r="X39" s="29"/>
      <c r="Y39" s="26"/>
      <c r="Z39" s="29"/>
      <c r="AA39" s="26"/>
      <c r="AB39" s="28"/>
      <c r="AC39" s="25"/>
      <c r="AD39" s="26"/>
    </row>
    <row r="40">
      <c r="A40" s="22" t="str">
        <f t="shared" si="1"/>
        <v>TC0029</v>
      </c>
      <c r="B40" s="23"/>
      <c r="C40" s="5"/>
      <c r="D40" s="24"/>
      <c r="E40" s="25"/>
      <c r="F40" s="26"/>
      <c r="G40" s="27"/>
      <c r="H40" s="5"/>
      <c r="I40" s="27"/>
      <c r="J40" s="5"/>
      <c r="K40" s="28"/>
      <c r="L40" s="26"/>
      <c r="M40" s="24"/>
      <c r="N40" s="25"/>
      <c r="O40" s="26"/>
      <c r="P40" s="28"/>
      <c r="Q40" s="26"/>
      <c r="R40" s="28"/>
      <c r="S40" s="25"/>
      <c r="T40" s="26"/>
      <c r="U40" s="28"/>
      <c r="V40" s="25"/>
      <c r="W40" s="26"/>
      <c r="X40" s="29"/>
      <c r="Y40" s="26"/>
      <c r="Z40" s="29"/>
      <c r="AA40" s="26"/>
      <c r="AB40" s="28"/>
      <c r="AC40" s="25"/>
      <c r="AD40" s="26"/>
    </row>
    <row r="41">
      <c r="A41" s="22" t="str">
        <f t="shared" si="1"/>
        <v>TC0030</v>
      </c>
      <c r="B41" s="23"/>
      <c r="C41" s="5"/>
      <c r="D41" s="24"/>
      <c r="E41" s="25"/>
      <c r="F41" s="26"/>
      <c r="G41" s="27"/>
      <c r="H41" s="5"/>
      <c r="I41" s="27"/>
      <c r="J41" s="5"/>
      <c r="K41" s="28"/>
      <c r="L41" s="26"/>
      <c r="M41" s="24"/>
      <c r="N41" s="25"/>
      <c r="O41" s="26"/>
      <c r="P41" s="28"/>
      <c r="Q41" s="26"/>
      <c r="R41" s="28"/>
      <c r="S41" s="25"/>
      <c r="T41" s="26"/>
      <c r="U41" s="28"/>
      <c r="V41" s="25"/>
      <c r="W41" s="26"/>
      <c r="X41" s="29"/>
      <c r="Y41" s="26"/>
      <c r="Z41" s="29"/>
      <c r="AA41" s="26"/>
      <c r="AB41" s="28"/>
      <c r="AC41" s="25"/>
      <c r="AD41" s="26"/>
    </row>
    <row r="42">
      <c r="A42" s="22" t="str">
        <f t="shared" si="1"/>
        <v>TC0031</v>
      </c>
      <c r="B42" s="23"/>
      <c r="C42" s="5"/>
      <c r="D42" s="24"/>
      <c r="E42" s="25"/>
      <c r="F42" s="26"/>
      <c r="G42" s="27"/>
      <c r="H42" s="5"/>
      <c r="I42" s="27"/>
      <c r="J42" s="5"/>
      <c r="K42" s="28"/>
      <c r="L42" s="26"/>
      <c r="M42" s="24"/>
      <c r="N42" s="25"/>
      <c r="O42" s="26"/>
      <c r="P42" s="28"/>
      <c r="Q42" s="26"/>
      <c r="R42" s="28"/>
      <c r="S42" s="25"/>
      <c r="T42" s="26"/>
      <c r="U42" s="28"/>
      <c r="V42" s="25"/>
      <c r="W42" s="26"/>
      <c r="X42" s="29"/>
      <c r="Y42" s="26"/>
      <c r="Z42" s="29"/>
      <c r="AA42" s="26"/>
      <c r="AB42" s="28"/>
      <c r="AC42" s="25"/>
      <c r="AD42" s="26"/>
    </row>
    <row r="43">
      <c r="A43" s="22" t="str">
        <f t="shared" si="1"/>
        <v>TC0032</v>
      </c>
      <c r="B43" s="23"/>
      <c r="C43" s="5"/>
      <c r="D43" s="24"/>
      <c r="E43" s="25"/>
      <c r="F43" s="26"/>
      <c r="G43" s="27"/>
      <c r="H43" s="5"/>
      <c r="I43" s="27"/>
      <c r="J43" s="5"/>
      <c r="K43" s="28"/>
      <c r="L43" s="26"/>
      <c r="M43" s="24"/>
      <c r="N43" s="25"/>
      <c r="O43" s="26"/>
      <c r="P43" s="28"/>
      <c r="Q43" s="26"/>
      <c r="R43" s="28"/>
      <c r="S43" s="25"/>
      <c r="T43" s="26"/>
      <c r="U43" s="28"/>
      <c r="V43" s="25"/>
      <c r="W43" s="26"/>
      <c r="X43" s="29"/>
      <c r="Y43" s="26"/>
      <c r="Z43" s="29"/>
      <c r="AA43" s="26"/>
      <c r="AB43" s="28"/>
      <c r="AC43" s="25"/>
      <c r="AD43" s="26"/>
    </row>
    <row r="44">
      <c r="A44" s="22" t="str">
        <f t="shared" si="1"/>
        <v>TC0033</v>
      </c>
      <c r="B44" s="23"/>
      <c r="C44" s="5"/>
      <c r="D44" s="24"/>
      <c r="E44" s="25"/>
      <c r="F44" s="26"/>
      <c r="G44" s="27"/>
      <c r="H44" s="5"/>
      <c r="I44" s="27"/>
      <c r="J44" s="5"/>
      <c r="K44" s="28"/>
      <c r="L44" s="26"/>
      <c r="M44" s="24"/>
      <c r="N44" s="25"/>
      <c r="O44" s="26"/>
      <c r="P44" s="28"/>
      <c r="Q44" s="26"/>
      <c r="R44" s="28"/>
      <c r="S44" s="25"/>
      <c r="T44" s="26"/>
      <c r="U44" s="28"/>
      <c r="V44" s="25"/>
      <c r="W44" s="26"/>
      <c r="X44" s="29"/>
      <c r="Y44" s="26"/>
      <c r="Z44" s="29"/>
      <c r="AA44" s="26"/>
      <c r="AB44" s="28"/>
      <c r="AC44" s="25"/>
      <c r="AD44" s="26"/>
    </row>
    <row r="45">
      <c r="A45" s="22" t="str">
        <f t="shared" si="1"/>
        <v>TC0034</v>
      </c>
      <c r="B45" s="23"/>
      <c r="C45" s="5"/>
      <c r="D45" s="24"/>
      <c r="E45" s="25"/>
      <c r="F45" s="26"/>
      <c r="G45" s="27"/>
      <c r="H45" s="5"/>
      <c r="I45" s="27"/>
      <c r="J45" s="5"/>
      <c r="K45" s="28"/>
      <c r="L45" s="26"/>
      <c r="M45" s="24"/>
      <c r="N45" s="25"/>
      <c r="O45" s="26"/>
      <c r="P45" s="28"/>
      <c r="Q45" s="26"/>
      <c r="R45" s="28"/>
      <c r="S45" s="25"/>
      <c r="T45" s="26"/>
      <c r="U45" s="28"/>
      <c r="V45" s="25"/>
      <c r="W45" s="26"/>
      <c r="X45" s="29"/>
      <c r="Y45" s="26"/>
      <c r="Z45" s="29"/>
      <c r="AA45" s="26"/>
      <c r="AB45" s="28"/>
      <c r="AC45" s="25"/>
      <c r="AD45" s="26"/>
    </row>
    <row r="46">
      <c r="A46" s="22" t="str">
        <f t="shared" si="1"/>
        <v>TC0035</v>
      </c>
      <c r="B46" s="23"/>
      <c r="C46" s="5"/>
      <c r="D46" s="24"/>
      <c r="E46" s="25"/>
      <c r="F46" s="26"/>
      <c r="G46" s="27"/>
      <c r="H46" s="5"/>
      <c r="I46" s="27"/>
      <c r="J46" s="5"/>
      <c r="K46" s="28"/>
      <c r="L46" s="26"/>
      <c r="M46" s="24"/>
      <c r="N46" s="25"/>
      <c r="O46" s="26"/>
      <c r="P46" s="28"/>
      <c r="Q46" s="26"/>
      <c r="R46" s="28"/>
      <c r="S46" s="25"/>
      <c r="T46" s="26"/>
      <c r="U46" s="28"/>
      <c r="V46" s="25"/>
      <c r="W46" s="26"/>
      <c r="X46" s="29"/>
      <c r="Y46" s="26"/>
      <c r="Z46" s="29"/>
      <c r="AA46" s="26"/>
      <c r="AB46" s="28"/>
      <c r="AC46" s="25"/>
      <c r="AD46" s="26"/>
    </row>
    <row r="47">
      <c r="A47" s="22" t="str">
        <f t="shared" si="1"/>
        <v>TC0036</v>
      </c>
      <c r="B47" s="23"/>
      <c r="C47" s="5"/>
      <c r="D47" s="24"/>
      <c r="E47" s="25"/>
      <c r="F47" s="26"/>
      <c r="G47" s="27"/>
      <c r="H47" s="5"/>
      <c r="I47" s="27"/>
      <c r="J47" s="5"/>
      <c r="K47" s="28"/>
      <c r="L47" s="26"/>
      <c r="M47" s="24"/>
      <c r="N47" s="25"/>
      <c r="O47" s="26"/>
      <c r="P47" s="28"/>
      <c r="Q47" s="26"/>
      <c r="R47" s="28"/>
      <c r="S47" s="25"/>
      <c r="T47" s="26"/>
      <c r="U47" s="28"/>
      <c r="V47" s="25"/>
      <c r="W47" s="26"/>
      <c r="X47" s="29"/>
      <c r="Y47" s="26"/>
      <c r="Z47" s="29"/>
      <c r="AA47" s="26"/>
      <c r="AB47" s="28"/>
      <c r="AC47" s="25"/>
      <c r="AD47" s="26"/>
    </row>
    <row r="48">
      <c r="A48" s="22" t="str">
        <f t="shared" si="1"/>
        <v>TC0037</v>
      </c>
      <c r="B48" s="23"/>
      <c r="C48" s="5"/>
      <c r="D48" s="24"/>
      <c r="E48" s="25"/>
      <c r="F48" s="26"/>
      <c r="G48" s="27"/>
      <c r="H48" s="5"/>
      <c r="I48" s="27"/>
      <c r="J48" s="5"/>
      <c r="K48" s="28"/>
      <c r="L48" s="26"/>
      <c r="M48" s="24"/>
      <c r="N48" s="25"/>
      <c r="O48" s="26"/>
      <c r="P48" s="28"/>
      <c r="Q48" s="26"/>
      <c r="R48" s="28"/>
      <c r="S48" s="25"/>
      <c r="T48" s="26"/>
      <c r="U48" s="28"/>
      <c r="V48" s="25"/>
      <c r="W48" s="26"/>
      <c r="X48" s="29"/>
      <c r="Y48" s="26"/>
      <c r="Z48" s="29"/>
      <c r="AA48" s="26"/>
      <c r="AB48" s="28"/>
      <c r="AC48" s="25"/>
      <c r="AD48" s="26"/>
    </row>
    <row r="49">
      <c r="A49" s="22" t="str">
        <f t="shared" si="1"/>
        <v>TC0038</v>
      </c>
      <c r="B49" s="23"/>
      <c r="C49" s="5"/>
      <c r="D49" s="24"/>
      <c r="E49" s="25"/>
      <c r="F49" s="26"/>
      <c r="G49" s="27"/>
      <c r="H49" s="5"/>
      <c r="I49" s="27"/>
      <c r="J49" s="5"/>
      <c r="K49" s="28"/>
      <c r="L49" s="26"/>
      <c r="M49" s="24"/>
      <c r="N49" s="25"/>
      <c r="O49" s="26"/>
      <c r="P49" s="28"/>
      <c r="Q49" s="26"/>
      <c r="R49" s="28"/>
      <c r="S49" s="25"/>
      <c r="T49" s="26"/>
      <c r="U49" s="28"/>
      <c r="V49" s="25"/>
      <c r="W49" s="26"/>
      <c r="X49" s="29"/>
      <c r="Y49" s="26"/>
      <c r="Z49" s="29"/>
      <c r="AA49" s="26"/>
      <c r="AB49" s="28"/>
      <c r="AC49" s="25"/>
      <c r="AD49" s="26"/>
    </row>
    <row r="50">
      <c r="A50" s="22" t="str">
        <f t="shared" si="1"/>
        <v>TC0039</v>
      </c>
      <c r="B50" s="23"/>
      <c r="C50" s="5"/>
      <c r="D50" s="24"/>
      <c r="E50" s="25"/>
      <c r="F50" s="26"/>
      <c r="G50" s="27"/>
      <c r="H50" s="5"/>
      <c r="I50" s="27"/>
      <c r="J50" s="5"/>
      <c r="K50" s="28"/>
      <c r="L50" s="26"/>
      <c r="M50" s="24"/>
      <c r="N50" s="25"/>
      <c r="O50" s="26"/>
      <c r="P50" s="28"/>
      <c r="Q50" s="26"/>
      <c r="R50" s="28"/>
      <c r="S50" s="25"/>
      <c r="T50" s="26"/>
      <c r="U50" s="28"/>
      <c r="V50" s="25"/>
      <c r="W50" s="26"/>
      <c r="X50" s="29"/>
      <c r="Y50" s="26"/>
      <c r="Z50" s="29"/>
      <c r="AA50" s="26"/>
      <c r="AB50" s="28"/>
      <c r="AC50" s="25"/>
      <c r="AD50" s="26"/>
    </row>
    <row r="51">
      <c r="A51" s="22" t="str">
        <f t="shared" si="1"/>
        <v>TC0040</v>
      </c>
      <c r="B51" s="23"/>
      <c r="C51" s="5"/>
      <c r="D51" s="24"/>
      <c r="E51" s="25"/>
      <c r="F51" s="26"/>
      <c r="G51" s="27"/>
      <c r="H51" s="5"/>
      <c r="I51" s="27"/>
      <c r="J51" s="5"/>
      <c r="K51" s="28"/>
      <c r="L51" s="26"/>
      <c r="M51" s="24"/>
      <c r="N51" s="25"/>
      <c r="O51" s="26"/>
      <c r="P51" s="28"/>
      <c r="Q51" s="26"/>
      <c r="R51" s="28"/>
      <c r="S51" s="25"/>
      <c r="T51" s="26"/>
      <c r="U51" s="28"/>
      <c r="V51" s="25"/>
      <c r="W51" s="26"/>
      <c r="X51" s="29"/>
      <c r="Y51" s="26"/>
      <c r="Z51" s="29"/>
      <c r="AA51" s="26"/>
      <c r="AB51" s="28"/>
      <c r="AC51" s="25"/>
      <c r="AD51" s="26"/>
    </row>
    <row r="52">
      <c r="A52" s="22" t="str">
        <f t="shared" si="1"/>
        <v>TC0041</v>
      </c>
      <c r="B52" s="23"/>
      <c r="C52" s="5"/>
      <c r="D52" s="24"/>
      <c r="E52" s="25"/>
      <c r="F52" s="26"/>
      <c r="G52" s="27"/>
      <c r="H52" s="5"/>
      <c r="I52" s="27"/>
      <c r="J52" s="5"/>
      <c r="K52" s="28"/>
      <c r="L52" s="26"/>
      <c r="M52" s="24"/>
      <c r="N52" s="25"/>
      <c r="O52" s="26"/>
      <c r="P52" s="28"/>
      <c r="Q52" s="26"/>
      <c r="R52" s="28"/>
      <c r="S52" s="25"/>
      <c r="T52" s="26"/>
      <c r="U52" s="28"/>
      <c r="V52" s="25"/>
      <c r="W52" s="26"/>
      <c r="X52" s="29"/>
      <c r="Y52" s="26"/>
      <c r="Z52" s="29"/>
      <c r="AA52" s="26"/>
      <c r="AB52" s="28"/>
      <c r="AC52" s="25"/>
      <c r="AD52" s="26"/>
    </row>
    <row r="53">
      <c r="A53" s="22" t="str">
        <f t="shared" si="1"/>
        <v>TC0042</v>
      </c>
      <c r="B53" s="23"/>
      <c r="C53" s="5"/>
      <c r="D53" s="24"/>
      <c r="E53" s="25"/>
      <c r="F53" s="26"/>
      <c r="G53" s="27"/>
      <c r="H53" s="5"/>
      <c r="I53" s="27"/>
      <c r="J53" s="5"/>
      <c r="K53" s="28"/>
      <c r="L53" s="26"/>
      <c r="M53" s="24"/>
      <c r="N53" s="25"/>
      <c r="O53" s="26"/>
      <c r="P53" s="28"/>
      <c r="Q53" s="26"/>
      <c r="R53" s="28"/>
      <c r="S53" s="25"/>
      <c r="T53" s="26"/>
      <c r="U53" s="28"/>
      <c r="V53" s="25"/>
      <c r="W53" s="26"/>
      <c r="X53" s="29"/>
      <c r="Y53" s="26"/>
      <c r="Z53" s="29"/>
      <c r="AA53" s="26"/>
      <c r="AB53" s="28"/>
      <c r="AC53" s="25"/>
      <c r="AD53" s="26"/>
    </row>
    <row r="54">
      <c r="A54" s="22" t="str">
        <f t="shared" si="1"/>
        <v>TC0043</v>
      </c>
      <c r="B54" s="23"/>
      <c r="C54" s="5"/>
      <c r="D54" s="24"/>
      <c r="E54" s="25"/>
      <c r="F54" s="26"/>
      <c r="G54" s="27"/>
      <c r="H54" s="5"/>
      <c r="I54" s="27"/>
      <c r="J54" s="5"/>
      <c r="K54" s="28"/>
      <c r="L54" s="26"/>
      <c r="M54" s="24"/>
      <c r="N54" s="25"/>
      <c r="O54" s="26"/>
      <c r="P54" s="28"/>
      <c r="Q54" s="26"/>
      <c r="R54" s="28"/>
      <c r="S54" s="25"/>
      <c r="T54" s="26"/>
      <c r="U54" s="28"/>
      <c r="V54" s="25"/>
      <c r="W54" s="26"/>
      <c r="X54" s="29"/>
      <c r="Y54" s="26"/>
      <c r="Z54" s="29"/>
      <c r="AA54" s="26"/>
      <c r="AB54" s="28"/>
      <c r="AC54" s="25"/>
      <c r="AD54" s="26"/>
    </row>
    <row r="55">
      <c r="A55" s="22" t="str">
        <f t="shared" si="1"/>
        <v>TC0044</v>
      </c>
      <c r="B55" s="23"/>
      <c r="C55" s="5"/>
      <c r="D55" s="24"/>
      <c r="E55" s="25"/>
      <c r="F55" s="26"/>
      <c r="G55" s="27"/>
      <c r="H55" s="5"/>
      <c r="I55" s="27"/>
      <c r="J55" s="5"/>
      <c r="K55" s="28"/>
      <c r="L55" s="26"/>
      <c r="M55" s="24"/>
      <c r="N55" s="25"/>
      <c r="O55" s="26"/>
      <c r="P55" s="28"/>
      <c r="Q55" s="26"/>
      <c r="R55" s="28"/>
      <c r="S55" s="25"/>
      <c r="T55" s="26"/>
      <c r="U55" s="28"/>
      <c r="V55" s="25"/>
      <c r="W55" s="26"/>
      <c r="X55" s="29"/>
      <c r="Y55" s="26"/>
      <c r="Z55" s="29"/>
      <c r="AA55" s="26"/>
      <c r="AB55" s="28"/>
      <c r="AC55" s="25"/>
      <c r="AD55" s="26"/>
    </row>
    <row r="56">
      <c r="A56" s="22" t="str">
        <f t="shared" si="1"/>
        <v>TC0045</v>
      </c>
      <c r="B56" s="23"/>
      <c r="C56" s="5"/>
      <c r="D56" s="24"/>
      <c r="E56" s="25"/>
      <c r="F56" s="26"/>
      <c r="G56" s="27"/>
      <c r="H56" s="5"/>
      <c r="I56" s="27"/>
      <c r="J56" s="5"/>
      <c r="K56" s="28"/>
      <c r="L56" s="26"/>
      <c r="M56" s="24"/>
      <c r="N56" s="25"/>
      <c r="O56" s="26"/>
      <c r="P56" s="28"/>
      <c r="Q56" s="26"/>
      <c r="R56" s="28"/>
      <c r="S56" s="25"/>
      <c r="T56" s="26"/>
      <c r="U56" s="28"/>
      <c r="V56" s="25"/>
      <c r="W56" s="26"/>
      <c r="X56" s="29"/>
      <c r="Y56" s="26"/>
      <c r="Z56" s="29"/>
      <c r="AA56" s="26"/>
      <c r="AB56" s="28"/>
      <c r="AC56" s="25"/>
      <c r="AD56" s="26"/>
    </row>
    <row r="57">
      <c r="A57" s="22" t="str">
        <f t="shared" si="1"/>
        <v>TC0046</v>
      </c>
      <c r="B57" s="23"/>
      <c r="C57" s="5"/>
      <c r="D57" s="24"/>
      <c r="E57" s="25"/>
      <c r="F57" s="26"/>
      <c r="G57" s="27"/>
      <c r="H57" s="5"/>
      <c r="I57" s="27"/>
      <c r="J57" s="5"/>
      <c r="K57" s="28"/>
      <c r="L57" s="26"/>
      <c r="M57" s="24"/>
      <c r="N57" s="25"/>
      <c r="O57" s="26"/>
      <c r="P57" s="28"/>
      <c r="Q57" s="26"/>
      <c r="R57" s="28"/>
      <c r="S57" s="25"/>
      <c r="T57" s="26"/>
      <c r="U57" s="28"/>
      <c r="V57" s="25"/>
      <c r="W57" s="26"/>
      <c r="X57" s="29"/>
      <c r="Y57" s="26"/>
      <c r="Z57" s="29"/>
      <c r="AA57" s="26"/>
      <c r="AB57" s="28"/>
      <c r="AC57" s="25"/>
      <c r="AD57" s="26"/>
    </row>
    <row r="58">
      <c r="A58" s="22" t="str">
        <f t="shared" si="1"/>
        <v>TC0047</v>
      </c>
      <c r="B58" s="23"/>
      <c r="C58" s="5"/>
      <c r="D58" s="24"/>
      <c r="E58" s="25"/>
      <c r="F58" s="26"/>
      <c r="G58" s="27"/>
      <c r="H58" s="5"/>
      <c r="I58" s="27"/>
      <c r="J58" s="5"/>
      <c r="K58" s="28"/>
      <c r="L58" s="26"/>
      <c r="M58" s="24"/>
      <c r="N58" s="25"/>
      <c r="O58" s="26"/>
      <c r="P58" s="28"/>
      <c r="Q58" s="26"/>
      <c r="R58" s="28"/>
      <c r="S58" s="25"/>
      <c r="T58" s="26"/>
      <c r="U58" s="28"/>
      <c r="V58" s="25"/>
      <c r="W58" s="26"/>
      <c r="X58" s="29"/>
      <c r="Y58" s="26"/>
      <c r="Z58" s="29"/>
      <c r="AA58" s="26"/>
      <c r="AB58" s="28"/>
      <c r="AC58" s="25"/>
      <c r="AD58" s="26"/>
    </row>
    <row r="59">
      <c r="A59" s="22" t="str">
        <f t="shared" si="1"/>
        <v>TC0048</v>
      </c>
      <c r="B59" s="23"/>
      <c r="C59" s="5"/>
      <c r="D59" s="24"/>
      <c r="E59" s="25"/>
      <c r="F59" s="26"/>
      <c r="G59" s="27"/>
      <c r="H59" s="5"/>
      <c r="I59" s="27"/>
      <c r="J59" s="5"/>
      <c r="K59" s="28"/>
      <c r="L59" s="26"/>
      <c r="M59" s="24"/>
      <c r="N59" s="25"/>
      <c r="O59" s="26"/>
      <c r="P59" s="28"/>
      <c r="Q59" s="26"/>
      <c r="R59" s="28"/>
      <c r="S59" s="25"/>
      <c r="T59" s="26"/>
      <c r="U59" s="28"/>
      <c r="V59" s="25"/>
      <c r="W59" s="26"/>
      <c r="X59" s="29"/>
      <c r="Y59" s="26"/>
      <c r="Z59" s="29"/>
      <c r="AA59" s="26"/>
      <c r="AB59" s="28"/>
      <c r="AC59" s="25"/>
      <c r="AD59" s="26"/>
    </row>
    <row r="60">
      <c r="A60" s="22" t="str">
        <f t="shared" si="1"/>
        <v>TC0049</v>
      </c>
      <c r="B60" s="23"/>
      <c r="C60" s="5"/>
      <c r="D60" s="24"/>
      <c r="E60" s="25"/>
      <c r="F60" s="26"/>
      <c r="G60" s="27"/>
      <c r="H60" s="5"/>
      <c r="I60" s="27"/>
      <c r="J60" s="5"/>
      <c r="K60" s="28"/>
      <c r="L60" s="26"/>
      <c r="M60" s="24"/>
      <c r="N60" s="25"/>
      <c r="O60" s="26"/>
      <c r="P60" s="28"/>
      <c r="Q60" s="26"/>
      <c r="R60" s="28"/>
      <c r="S60" s="25"/>
      <c r="T60" s="26"/>
      <c r="U60" s="28"/>
      <c r="V60" s="25"/>
      <c r="W60" s="26"/>
      <c r="X60" s="29"/>
      <c r="Y60" s="26"/>
      <c r="Z60" s="29"/>
      <c r="AA60" s="26"/>
      <c r="AB60" s="28"/>
      <c r="AC60" s="25"/>
      <c r="AD60" s="26"/>
    </row>
    <row r="61">
      <c r="A61" s="22" t="str">
        <f t="shared" si="1"/>
        <v>TC0050</v>
      </c>
      <c r="B61" s="23"/>
      <c r="C61" s="5"/>
      <c r="D61" s="24"/>
      <c r="E61" s="25"/>
      <c r="F61" s="26"/>
      <c r="G61" s="27"/>
      <c r="H61" s="5"/>
      <c r="I61" s="27"/>
      <c r="J61" s="5"/>
      <c r="K61" s="28"/>
      <c r="L61" s="26"/>
      <c r="M61" s="24"/>
      <c r="N61" s="25"/>
      <c r="O61" s="26"/>
      <c r="P61" s="28"/>
      <c r="Q61" s="26"/>
      <c r="R61" s="28"/>
      <c r="S61" s="25"/>
      <c r="T61" s="26"/>
      <c r="U61" s="28"/>
      <c r="V61" s="25"/>
      <c r="W61" s="26"/>
      <c r="X61" s="29"/>
      <c r="Y61" s="26"/>
      <c r="Z61" s="29"/>
      <c r="AA61" s="26"/>
      <c r="AB61" s="28"/>
      <c r="AC61" s="25"/>
      <c r="AD61" s="26"/>
    </row>
    <row r="62">
      <c r="A62" s="22" t="str">
        <f t="shared" si="1"/>
        <v>TC0051</v>
      </c>
      <c r="B62" s="23"/>
      <c r="C62" s="5"/>
      <c r="D62" s="24"/>
      <c r="E62" s="25"/>
      <c r="F62" s="26"/>
      <c r="G62" s="27"/>
      <c r="H62" s="5"/>
      <c r="I62" s="27"/>
      <c r="J62" s="5"/>
      <c r="K62" s="28"/>
      <c r="L62" s="26"/>
      <c r="M62" s="24"/>
      <c r="N62" s="25"/>
      <c r="O62" s="26"/>
      <c r="P62" s="28"/>
      <c r="Q62" s="26"/>
      <c r="R62" s="28"/>
      <c r="S62" s="25"/>
      <c r="T62" s="26"/>
      <c r="U62" s="28"/>
      <c r="V62" s="25"/>
      <c r="W62" s="26"/>
      <c r="X62" s="29"/>
      <c r="Y62" s="26"/>
      <c r="Z62" s="29"/>
      <c r="AA62" s="26"/>
      <c r="AB62" s="28"/>
      <c r="AC62" s="25"/>
      <c r="AD62" s="26"/>
    </row>
    <row r="63">
      <c r="A63" s="22" t="str">
        <f t="shared" si="1"/>
        <v>TC0052</v>
      </c>
      <c r="B63" s="23"/>
      <c r="C63" s="5"/>
      <c r="D63" s="24"/>
      <c r="E63" s="25"/>
      <c r="F63" s="26"/>
      <c r="G63" s="27"/>
      <c r="H63" s="5"/>
      <c r="I63" s="27"/>
      <c r="J63" s="5"/>
      <c r="K63" s="28"/>
      <c r="L63" s="26"/>
      <c r="M63" s="24"/>
      <c r="N63" s="25"/>
      <c r="O63" s="26"/>
      <c r="P63" s="28"/>
      <c r="Q63" s="26"/>
      <c r="R63" s="28"/>
      <c r="S63" s="25"/>
      <c r="T63" s="26"/>
      <c r="U63" s="28"/>
      <c r="V63" s="25"/>
      <c r="W63" s="26"/>
      <c r="X63" s="29"/>
      <c r="Y63" s="26"/>
      <c r="Z63" s="29"/>
      <c r="AA63" s="26"/>
      <c r="AB63" s="28"/>
      <c r="AC63" s="25"/>
      <c r="AD63" s="26"/>
    </row>
    <row r="64">
      <c r="A64" s="22" t="str">
        <f t="shared" si="1"/>
        <v>TC0053</v>
      </c>
      <c r="B64" s="23"/>
      <c r="C64" s="5"/>
      <c r="D64" s="24"/>
      <c r="E64" s="25"/>
      <c r="F64" s="26"/>
      <c r="G64" s="27"/>
      <c r="H64" s="5"/>
      <c r="I64" s="27"/>
      <c r="J64" s="5"/>
      <c r="K64" s="28"/>
      <c r="L64" s="26"/>
      <c r="M64" s="24"/>
      <c r="N64" s="25"/>
      <c r="O64" s="26"/>
      <c r="P64" s="28"/>
      <c r="Q64" s="26"/>
      <c r="R64" s="28"/>
      <c r="S64" s="25"/>
      <c r="T64" s="26"/>
      <c r="U64" s="28"/>
      <c r="V64" s="25"/>
      <c r="W64" s="26"/>
      <c r="X64" s="29"/>
      <c r="Y64" s="26"/>
      <c r="Z64" s="29"/>
      <c r="AA64" s="26"/>
      <c r="AB64" s="28"/>
      <c r="AC64" s="25"/>
      <c r="AD64" s="26"/>
    </row>
    <row r="65">
      <c r="A65" s="22" t="str">
        <f t="shared" si="1"/>
        <v>TC0054</v>
      </c>
      <c r="B65" s="23"/>
      <c r="C65" s="5"/>
      <c r="D65" s="24"/>
      <c r="E65" s="25"/>
      <c r="F65" s="26"/>
      <c r="G65" s="27"/>
      <c r="H65" s="5"/>
      <c r="I65" s="27"/>
      <c r="J65" s="5"/>
      <c r="K65" s="28"/>
      <c r="L65" s="26"/>
      <c r="M65" s="24"/>
      <c r="N65" s="25"/>
      <c r="O65" s="26"/>
      <c r="P65" s="28"/>
      <c r="Q65" s="26"/>
      <c r="R65" s="28"/>
      <c r="S65" s="25"/>
      <c r="T65" s="26"/>
      <c r="U65" s="28"/>
      <c r="V65" s="25"/>
      <c r="W65" s="26"/>
      <c r="X65" s="29"/>
      <c r="Y65" s="26"/>
      <c r="Z65" s="29"/>
      <c r="AA65" s="26"/>
      <c r="AB65" s="28"/>
      <c r="AC65" s="25"/>
      <c r="AD65" s="26"/>
    </row>
    <row r="66">
      <c r="A66" s="22" t="str">
        <f t="shared" si="1"/>
        <v>TC0055</v>
      </c>
      <c r="B66" s="23"/>
      <c r="C66" s="5"/>
      <c r="D66" s="24"/>
      <c r="E66" s="25"/>
      <c r="F66" s="26"/>
      <c r="G66" s="27"/>
      <c r="H66" s="5"/>
      <c r="I66" s="27"/>
      <c r="J66" s="5"/>
      <c r="K66" s="28"/>
      <c r="L66" s="26"/>
      <c r="M66" s="24"/>
      <c r="N66" s="25"/>
      <c r="O66" s="26"/>
      <c r="P66" s="28"/>
      <c r="Q66" s="26"/>
      <c r="R66" s="28"/>
      <c r="S66" s="25"/>
      <c r="T66" s="26"/>
      <c r="U66" s="28"/>
      <c r="V66" s="25"/>
      <c r="W66" s="26"/>
      <c r="X66" s="29"/>
      <c r="Y66" s="26"/>
      <c r="Z66" s="29"/>
      <c r="AA66" s="26"/>
      <c r="AB66" s="28"/>
      <c r="AC66" s="25"/>
      <c r="AD66" s="26"/>
    </row>
    <row r="67">
      <c r="A67" s="22" t="str">
        <f t="shared" si="1"/>
        <v>TC0056</v>
      </c>
      <c r="B67" s="23"/>
      <c r="C67" s="5"/>
      <c r="D67" s="24"/>
      <c r="E67" s="25"/>
      <c r="F67" s="26"/>
      <c r="G67" s="27"/>
      <c r="H67" s="5"/>
      <c r="I67" s="27"/>
      <c r="J67" s="5"/>
      <c r="K67" s="28"/>
      <c r="L67" s="26"/>
      <c r="M67" s="24"/>
      <c r="N67" s="25"/>
      <c r="O67" s="26"/>
      <c r="P67" s="28"/>
      <c r="Q67" s="26"/>
      <c r="R67" s="28"/>
      <c r="S67" s="25"/>
      <c r="T67" s="26"/>
      <c r="U67" s="28"/>
      <c r="V67" s="25"/>
      <c r="W67" s="26"/>
      <c r="X67" s="29"/>
      <c r="Y67" s="26"/>
      <c r="Z67" s="29"/>
      <c r="AA67" s="26"/>
      <c r="AB67" s="28"/>
      <c r="AC67" s="25"/>
      <c r="AD67" s="26"/>
    </row>
    <row r="68">
      <c r="A68" s="22" t="str">
        <f t="shared" si="1"/>
        <v>TC0057</v>
      </c>
      <c r="B68" s="23"/>
      <c r="C68" s="5"/>
      <c r="D68" s="24"/>
      <c r="E68" s="25"/>
      <c r="F68" s="26"/>
      <c r="G68" s="27"/>
      <c r="H68" s="5"/>
      <c r="I68" s="27"/>
      <c r="J68" s="5"/>
      <c r="K68" s="28"/>
      <c r="L68" s="26"/>
      <c r="M68" s="24"/>
      <c r="N68" s="25"/>
      <c r="O68" s="26"/>
      <c r="P68" s="28"/>
      <c r="Q68" s="26"/>
      <c r="R68" s="28"/>
      <c r="S68" s="25"/>
      <c r="T68" s="26"/>
      <c r="U68" s="28"/>
      <c r="V68" s="25"/>
      <c r="W68" s="26"/>
      <c r="X68" s="29"/>
      <c r="Y68" s="26"/>
      <c r="Z68" s="29"/>
      <c r="AA68" s="26"/>
      <c r="AB68" s="28"/>
      <c r="AC68" s="25"/>
      <c r="AD68" s="26"/>
    </row>
    <row r="69">
      <c r="A69" s="22" t="str">
        <f t="shared" si="1"/>
        <v>TC0058</v>
      </c>
      <c r="B69" s="23"/>
      <c r="C69" s="5"/>
      <c r="D69" s="24"/>
      <c r="E69" s="25"/>
      <c r="F69" s="26"/>
      <c r="G69" s="27"/>
      <c r="H69" s="5"/>
      <c r="I69" s="27"/>
      <c r="J69" s="5"/>
      <c r="K69" s="28"/>
      <c r="L69" s="26"/>
      <c r="M69" s="24"/>
      <c r="N69" s="25"/>
      <c r="O69" s="26"/>
      <c r="P69" s="28"/>
      <c r="Q69" s="26"/>
      <c r="R69" s="28"/>
      <c r="S69" s="25"/>
      <c r="T69" s="26"/>
      <c r="U69" s="28"/>
      <c r="V69" s="25"/>
      <c r="W69" s="26"/>
      <c r="X69" s="29"/>
      <c r="Y69" s="26"/>
      <c r="Z69" s="29"/>
      <c r="AA69" s="26"/>
      <c r="AB69" s="28"/>
      <c r="AC69" s="25"/>
      <c r="AD69" s="26"/>
    </row>
    <row r="70">
      <c r="A70" s="22" t="str">
        <f t="shared" si="1"/>
        <v>TC0059</v>
      </c>
      <c r="B70" s="23"/>
      <c r="C70" s="5"/>
      <c r="D70" s="24"/>
      <c r="E70" s="25"/>
      <c r="F70" s="26"/>
      <c r="G70" s="27"/>
      <c r="H70" s="5"/>
      <c r="I70" s="27"/>
      <c r="J70" s="5"/>
      <c r="K70" s="28"/>
      <c r="L70" s="26"/>
      <c r="M70" s="24"/>
      <c r="N70" s="25"/>
      <c r="O70" s="26"/>
      <c r="P70" s="28"/>
      <c r="Q70" s="26"/>
      <c r="R70" s="28"/>
      <c r="S70" s="25"/>
      <c r="T70" s="26"/>
      <c r="U70" s="28"/>
      <c r="V70" s="25"/>
      <c r="W70" s="26"/>
      <c r="X70" s="29"/>
      <c r="Y70" s="26"/>
      <c r="Z70" s="29"/>
      <c r="AA70" s="26"/>
      <c r="AB70" s="28"/>
      <c r="AC70" s="25"/>
      <c r="AD70" s="26"/>
    </row>
    <row r="71">
      <c r="A71" s="22" t="str">
        <f t="shared" si="1"/>
        <v>TC0060</v>
      </c>
      <c r="B71" s="23"/>
      <c r="C71" s="5"/>
      <c r="D71" s="24"/>
      <c r="E71" s="25"/>
      <c r="F71" s="26"/>
      <c r="G71" s="27"/>
      <c r="H71" s="5"/>
      <c r="I71" s="27"/>
      <c r="J71" s="5"/>
      <c r="K71" s="28"/>
      <c r="L71" s="26"/>
      <c r="M71" s="24"/>
      <c r="N71" s="25"/>
      <c r="O71" s="26"/>
      <c r="P71" s="28"/>
      <c r="Q71" s="26"/>
      <c r="R71" s="28"/>
      <c r="S71" s="25"/>
      <c r="T71" s="26"/>
      <c r="U71" s="28"/>
      <c r="V71" s="25"/>
      <c r="W71" s="26"/>
      <c r="X71" s="29"/>
      <c r="Y71" s="26"/>
      <c r="Z71" s="29"/>
      <c r="AA71" s="26"/>
      <c r="AB71" s="28"/>
      <c r="AC71" s="25"/>
      <c r="AD71" s="26"/>
    </row>
    <row r="72">
      <c r="A72" s="22" t="str">
        <f t="shared" si="1"/>
        <v>TC0061</v>
      </c>
      <c r="B72" s="23"/>
      <c r="C72" s="5"/>
      <c r="D72" s="24"/>
      <c r="E72" s="25"/>
      <c r="F72" s="26"/>
      <c r="G72" s="27"/>
      <c r="H72" s="5"/>
      <c r="I72" s="27"/>
      <c r="J72" s="5"/>
      <c r="K72" s="28"/>
      <c r="L72" s="26"/>
      <c r="M72" s="24"/>
      <c r="N72" s="25"/>
      <c r="O72" s="26"/>
      <c r="P72" s="28"/>
      <c r="Q72" s="26"/>
      <c r="R72" s="28"/>
      <c r="S72" s="25"/>
      <c r="T72" s="26"/>
      <c r="U72" s="28"/>
      <c r="V72" s="25"/>
      <c r="W72" s="26"/>
      <c r="X72" s="29"/>
      <c r="Y72" s="26"/>
      <c r="Z72" s="29"/>
      <c r="AA72" s="26"/>
      <c r="AB72" s="28"/>
      <c r="AC72" s="25"/>
      <c r="AD72" s="26"/>
    </row>
    <row r="73">
      <c r="A73" s="22" t="str">
        <f t="shared" si="1"/>
        <v>TC0062</v>
      </c>
      <c r="B73" s="23"/>
      <c r="C73" s="5"/>
      <c r="D73" s="24"/>
      <c r="E73" s="25"/>
      <c r="F73" s="26"/>
      <c r="G73" s="27"/>
      <c r="H73" s="5"/>
      <c r="I73" s="27"/>
      <c r="J73" s="5"/>
      <c r="K73" s="28"/>
      <c r="L73" s="26"/>
      <c r="M73" s="24"/>
      <c r="N73" s="25"/>
      <c r="O73" s="26"/>
      <c r="P73" s="28"/>
      <c r="Q73" s="26"/>
      <c r="R73" s="28"/>
      <c r="S73" s="25"/>
      <c r="T73" s="26"/>
      <c r="U73" s="28"/>
      <c r="V73" s="25"/>
      <c r="W73" s="26"/>
      <c r="X73" s="29"/>
      <c r="Y73" s="26"/>
      <c r="Z73" s="29"/>
      <c r="AA73" s="26"/>
      <c r="AB73" s="28"/>
      <c r="AC73" s="25"/>
      <c r="AD73" s="26"/>
    </row>
    <row r="74">
      <c r="A74" s="22" t="str">
        <f t="shared" si="1"/>
        <v>TC0063</v>
      </c>
      <c r="B74" s="23"/>
      <c r="C74" s="5"/>
      <c r="D74" s="24"/>
      <c r="E74" s="25"/>
      <c r="F74" s="26"/>
      <c r="G74" s="27"/>
      <c r="H74" s="5"/>
      <c r="I74" s="27"/>
      <c r="J74" s="5"/>
      <c r="K74" s="28"/>
      <c r="L74" s="26"/>
      <c r="M74" s="24"/>
      <c r="N74" s="25"/>
      <c r="O74" s="26"/>
      <c r="P74" s="28"/>
      <c r="Q74" s="26"/>
      <c r="R74" s="28"/>
      <c r="S74" s="25"/>
      <c r="T74" s="26"/>
      <c r="U74" s="28"/>
      <c r="V74" s="25"/>
      <c r="W74" s="26"/>
      <c r="X74" s="29"/>
      <c r="Y74" s="26"/>
      <c r="Z74" s="29"/>
      <c r="AA74" s="26"/>
      <c r="AB74" s="28"/>
      <c r="AC74" s="25"/>
      <c r="AD74" s="26"/>
    </row>
    <row r="75">
      <c r="A75" s="22" t="str">
        <f t="shared" si="1"/>
        <v>TC0064</v>
      </c>
      <c r="B75" s="23"/>
      <c r="C75" s="5"/>
      <c r="D75" s="24"/>
      <c r="E75" s="25"/>
      <c r="F75" s="26"/>
      <c r="G75" s="27"/>
      <c r="H75" s="5"/>
      <c r="I75" s="27"/>
      <c r="J75" s="5"/>
      <c r="K75" s="28"/>
      <c r="L75" s="26"/>
      <c r="M75" s="24"/>
      <c r="N75" s="25"/>
      <c r="O75" s="26"/>
      <c r="P75" s="28"/>
      <c r="Q75" s="26"/>
      <c r="R75" s="28"/>
      <c r="S75" s="25"/>
      <c r="T75" s="26"/>
      <c r="U75" s="28"/>
      <c r="V75" s="25"/>
      <c r="W75" s="26"/>
      <c r="X75" s="29"/>
      <c r="Y75" s="26"/>
      <c r="Z75" s="29"/>
      <c r="AA75" s="26"/>
      <c r="AB75" s="28"/>
      <c r="AC75" s="25"/>
      <c r="AD75" s="26"/>
    </row>
    <row r="76">
      <c r="A76" s="22" t="str">
        <f t="shared" si="1"/>
        <v>TC0065</v>
      </c>
      <c r="B76" s="23"/>
      <c r="C76" s="5"/>
      <c r="D76" s="24"/>
      <c r="E76" s="25"/>
      <c r="F76" s="26"/>
      <c r="G76" s="27"/>
      <c r="H76" s="5"/>
      <c r="I76" s="27"/>
      <c r="J76" s="5"/>
      <c r="K76" s="28"/>
      <c r="L76" s="26"/>
      <c r="M76" s="24"/>
      <c r="N76" s="25"/>
      <c r="O76" s="26"/>
      <c r="P76" s="28"/>
      <c r="Q76" s="26"/>
      <c r="R76" s="28"/>
      <c r="S76" s="25"/>
      <c r="T76" s="26"/>
      <c r="U76" s="28"/>
      <c r="V76" s="25"/>
      <c r="W76" s="26"/>
      <c r="X76" s="29"/>
      <c r="Y76" s="26"/>
      <c r="Z76" s="29"/>
      <c r="AA76" s="26"/>
      <c r="AB76" s="28"/>
      <c r="AC76" s="25"/>
      <c r="AD76" s="26"/>
    </row>
    <row r="77">
      <c r="A77" s="22" t="str">
        <f t="shared" si="1"/>
        <v>TC0066</v>
      </c>
      <c r="B77" s="23"/>
      <c r="C77" s="5"/>
      <c r="D77" s="24"/>
      <c r="E77" s="25"/>
      <c r="F77" s="26"/>
      <c r="G77" s="27"/>
      <c r="H77" s="5"/>
      <c r="I77" s="27"/>
      <c r="J77" s="5"/>
      <c r="K77" s="28"/>
      <c r="L77" s="26"/>
      <c r="M77" s="24"/>
      <c r="N77" s="25"/>
      <c r="O77" s="26"/>
      <c r="P77" s="28"/>
      <c r="Q77" s="26"/>
      <c r="R77" s="28"/>
      <c r="S77" s="25"/>
      <c r="T77" s="26"/>
      <c r="U77" s="28"/>
      <c r="V77" s="25"/>
      <c r="W77" s="26"/>
      <c r="X77" s="29"/>
      <c r="Y77" s="26"/>
      <c r="Z77" s="29"/>
      <c r="AA77" s="26"/>
      <c r="AB77" s="28"/>
      <c r="AC77" s="25"/>
      <c r="AD77" s="26"/>
    </row>
    <row r="78">
      <c r="A78" s="22" t="str">
        <f t="shared" si="1"/>
        <v>TC0067</v>
      </c>
      <c r="B78" s="23"/>
      <c r="C78" s="5"/>
      <c r="D78" s="24"/>
      <c r="E78" s="25"/>
      <c r="F78" s="26"/>
      <c r="G78" s="27"/>
      <c r="H78" s="5"/>
      <c r="I78" s="27"/>
      <c r="J78" s="5"/>
      <c r="K78" s="28"/>
      <c r="L78" s="26"/>
      <c r="M78" s="24"/>
      <c r="N78" s="25"/>
      <c r="O78" s="26"/>
      <c r="P78" s="28"/>
      <c r="Q78" s="26"/>
      <c r="R78" s="28"/>
      <c r="S78" s="25"/>
      <c r="T78" s="26"/>
      <c r="U78" s="28"/>
      <c r="V78" s="25"/>
      <c r="W78" s="26"/>
      <c r="X78" s="29"/>
      <c r="Y78" s="26"/>
      <c r="Z78" s="29"/>
      <c r="AA78" s="26"/>
      <c r="AB78" s="28"/>
      <c r="AC78" s="25"/>
      <c r="AD78" s="26"/>
    </row>
    <row r="79">
      <c r="A79" s="22" t="str">
        <f t="shared" si="1"/>
        <v>TC0068</v>
      </c>
      <c r="B79" s="23"/>
      <c r="C79" s="5"/>
      <c r="D79" s="24"/>
      <c r="E79" s="25"/>
      <c r="F79" s="26"/>
      <c r="G79" s="27"/>
      <c r="H79" s="5"/>
      <c r="I79" s="27"/>
      <c r="J79" s="5"/>
      <c r="K79" s="28"/>
      <c r="L79" s="26"/>
      <c r="M79" s="24"/>
      <c r="N79" s="25"/>
      <c r="O79" s="26"/>
      <c r="P79" s="28"/>
      <c r="Q79" s="26"/>
      <c r="R79" s="28"/>
      <c r="S79" s="25"/>
      <c r="T79" s="26"/>
      <c r="U79" s="28"/>
      <c r="V79" s="25"/>
      <c r="W79" s="26"/>
      <c r="X79" s="29"/>
      <c r="Y79" s="26"/>
      <c r="Z79" s="29"/>
      <c r="AA79" s="26"/>
      <c r="AB79" s="28"/>
      <c r="AC79" s="25"/>
      <c r="AD79" s="26"/>
    </row>
    <row r="80">
      <c r="A80" s="22" t="str">
        <f t="shared" si="1"/>
        <v>TC0069</v>
      </c>
      <c r="B80" s="23"/>
      <c r="C80" s="5"/>
      <c r="D80" s="24"/>
      <c r="E80" s="25"/>
      <c r="F80" s="26"/>
      <c r="G80" s="27"/>
      <c r="H80" s="5"/>
      <c r="I80" s="27"/>
      <c r="J80" s="5"/>
      <c r="K80" s="28"/>
      <c r="L80" s="26"/>
      <c r="M80" s="24"/>
      <c r="N80" s="25"/>
      <c r="O80" s="26"/>
      <c r="P80" s="28"/>
      <c r="Q80" s="26"/>
      <c r="R80" s="28"/>
      <c r="S80" s="25"/>
      <c r="T80" s="26"/>
      <c r="U80" s="28"/>
      <c r="V80" s="25"/>
      <c r="W80" s="26"/>
      <c r="X80" s="29"/>
      <c r="Y80" s="26"/>
      <c r="Z80" s="29"/>
      <c r="AA80" s="26"/>
      <c r="AB80" s="28"/>
      <c r="AC80" s="25"/>
      <c r="AD80" s="26"/>
    </row>
    <row r="81">
      <c r="A81" s="22" t="str">
        <f t="shared" si="1"/>
        <v>TC0070</v>
      </c>
      <c r="B81" s="23"/>
      <c r="C81" s="5"/>
      <c r="D81" s="24"/>
      <c r="E81" s="25"/>
      <c r="F81" s="26"/>
      <c r="G81" s="27"/>
      <c r="H81" s="5"/>
      <c r="I81" s="27"/>
      <c r="J81" s="5"/>
      <c r="K81" s="28"/>
      <c r="L81" s="26"/>
      <c r="M81" s="24"/>
      <c r="N81" s="25"/>
      <c r="O81" s="26"/>
      <c r="P81" s="28"/>
      <c r="Q81" s="26"/>
      <c r="R81" s="28"/>
      <c r="S81" s="25"/>
      <c r="T81" s="26"/>
      <c r="U81" s="28"/>
      <c r="V81" s="25"/>
      <c r="W81" s="26"/>
      <c r="X81" s="29"/>
      <c r="Y81" s="26"/>
      <c r="Z81" s="29"/>
      <c r="AA81" s="26"/>
      <c r="AB81" s="28"/>
      <c r="AC81" s="25"/>
      <c r="AD81" s="26"/>
    </row>
    <row r="82">
      <c r="A82" s="22" t="str">
        <f t="shared" si="1"/>
        <v>TC0071</v>
      </c>
      <c r="B82" s="23"/>
      <c r="C82" s="5"/>
      <c r="D82" s="24"/>
      <c r="E82" s="25"/>
      <c r="F82" s="26"/>
      <c r="G82" s="27"/>
      <c r="H82" s="5"/>
      <c r="I82" s="27"/>
      <c r="J82" s="5"/>
      <c r="K82" s="28"/>
      <c r="L82" s="26"/>
      <c r="M82" s="24"/>
      <c r="N82" s="25"/>
      <c r="O82" s="26"/>
      <c r="P82" s="28"/>
      <c r="Q82" s="26"/>
      <c r="R82" s="28"/>
      <c r="S82" s="25"/>
      <c r="T82" s="26"/>
      <c r="U82" s="28"/>
      <c r="V82" s="25"/>
      <c r="W82" s="26"/>
      <c r="X82" s="29"/>
      <c r="Y82" s="26"/>
      <c r="Z82" s="29"/>
      <c r="AA82" s="26"/>
      <c r="AB82" s="28"/>
      <c r="AC82" s="25"/>
      <c r="AD82" s="26"/>
    </row>
    <row r="83">
      <c r="A83" s="22" t="str">
        <f t="shared" si="1"/>
        <v>TC0072</v>
      </c>
      <c r="B83" s="23"/>
      <c r="C83" s="5"/>
      <c r="D83" s="24"/>
      <c r="E83" s="25"/>
      <c r="F83" s="26"/>
      <c r="G83" s="27"/>
      <c r="H83" s="5"/>
      <c r="I83" s="27"/>
      <c r="J83" s="5"/>
      <c r="K83" s="28"/>
      <c r="L83" s="26"/>
      <c r="M83" s="24"/>
      <c r="N83" s="25"/>
      <c r="O83" s="26"/>
      <c r="P83" s="28"/>
      <c r="Q83" s="26"/>
      <c r="R83" s="28"/>
      <c r="S83" s="25"/>
      <c r="T83" s="26"/>
      <c r="U83" s="28"/>
      <c r="V83" s="25"/>
      <c r="W83" s="26"/>
      <c r="X83" s="29"/>
      <c r="Y83" s="26"/>
      <c r="Z83" s="29"/>
      <c r="AA83" s="26"/>
      <c r="AB83" s="28"/>
      <c r="AC83" s="25"/>
      <c r="AD83" s="26"/>
    </row>
    <row r="84">
      <c r="A84" s="22" t="str">
        <f t="shared" si="1"/>
        <v>TC0073</v>
      </c>
      <c r="B84" s="23"/>
      <c r="C84" s="5"/>
      <c r="D84" s="24"/>
      <c r="E84" s="25"/>
      <c r="F84" s="26"/>
      <c r="G84" s="27"/>
      <c r="H84" s="5"/>
      <c r="I84" s="27"/>
      <c r="J84" s="5"/>
      <c r="K84" s="28"/>
      <c r="L84" s="26"/>
      <c r="M84" s="24"/>
      <c r="N84" s="25"/>
      <c r="O84" s="26"/>
      <c r="P84" s="28"/>
      <c r="Q84" s="26"/>
      <c r="R84" s="28"/>
      <c r="S84" s="25"/>
      <c r="T84" s="26"/>
      <c r="U84" s="28"/>
      <c r="V84" s="25"/>
      <c r="W84" s="26"/>
      <c r="X84" s="29"/>
      <c r="Y84" s="26"/>
      <c r="Z84" s="29"/>
      <c r="AA84" s="26"/>
      <c r="AB84" s="28"/>
      <c r="AC84" s="25"/>
      <c r="AD84" s="26"/>
    </row>
    <row r="85">
      <c r="A85" s="22" t="str">
        <f t="shared" si="1"/>
        <v>TC0074</v>
      </c>
      <c r="B85" s="23"/>
      <c r="C85" s="5"/>
      <c r="D85" s="24"/>
      <c r="E85" s="25"/>
      <c r="F85" s="26"/>
      <c r="G85" s="27"/>
      <c r="H85" s="5"/>
      <c r="I85" s="27"/>
      <c r="J85" s="5"/>
      <c r="K85" s="28"/>
      <c r="L85" s="26"/>
      <c r="M85" s="24"/>
      <c r="N85" s="25"/>
      <c r="O85" s="26"/>
      <c r="P85" s="28"/>
      <c r="Q85" s="26"/>
      <c r="R85" s="28"/>
      <c r="S85" s="25"/>
      <c r="T85" s="26"/>
      <c r="U85" s="28"/>
      <c r="V85" s="25"/>
      <c r="W85" s="26"/>
      <c r="X85" s="29"/>
      <c r="Y85" s="26"/>
      <c r="Z85" s="29"/>
      <c r="AA85" s="26"/>
      <c r="AB85" s="28"/>
      <c r="AC85" s="25"/>
      <c r="AD85" s="26"/>
    </row>
    <row r="86">
      <c r="A86" s="22" t="str">
        <f t="shared" si="1"/>
        <v>TC0075</v>
      </c>
      <c r="B86" s="23"/>
      <c r="C86" s="5"/>
      <c r="D86" s="24"/>
      <c r="E86" s="25"/>
      <c r="F86" s="26"/>
      <c r="G86" s="27"/>
      <c r="H86" s="5"/>
      <c r="I86" s="27"/>
      <c r="J86" s="5"/>
      <c r="K86" s="28"/>
      <c r="L86" s="26"/>
      <c r="M86" s="24"/>
      <c r="N86" s="25"/>
      <c r="O86" s="26"/>
      <c r="P86" s="28"/>
      <c r="Q86" s="26"/>
      <c r="R86" s="28"/>
      <c r="S86" s="25"/>
      <c r="T86" s="26"/>
      <c r="U86" s="28"/>
      <c r="V86" s="25"/>
      <c r="W86" s="26"/>
      <c r="X86" s="29"/>
      <c r="Y86" s="26"/>
      <c r="Z86" s="29"/>
      <c r="AA86" s="26"/>
      <c r="AB86" s="28"/>
      <c r="AC86" s="25"/>
      <c r="AD86" s="26"/>
    </row>
    <row r="87">
      <c r="A87" s="22" t="str">
        <f t="shared" si="1"/>
        <v>TC0076</v>
      </c>
      <c r="B87" s="23"/>
      <c r="C87" s="5"/>
      <c r="D87" s="24"/>
      <c r="E87" s="25"/>
      <c r="F87" s="26"/>
      <c r="G87" s="27"/>
      <c r="H87" s="5"/>
      <c r="I87" s="27"/>
      <c r="J87" s="5"/>
      <c r="K87" s="28"/>
      <c r="L87" s="26"/>
      <c r="M87" s="24"/>
      <c r="N87" s="25"/>
      <c r="O87" s="26"/>
      <c r="P87" s="28"/>
      <c r="Q87" s="26"/>
      <c r="R87" s="28"/>
      <c r="S87" s="25"/>
      <c r="T87" s="26"/>
      <c r="U87" s="28"/>
      <c r="V87" s="25"/>
      <c r="W87" s="26"/>
      <c r="X87" s="29"/>
      <c r="Y87" s="26"/>
      <c r="Z87" s="29"/>
      <c r="AA87" s="26"/>
      <c r="AB87" s="28"/>
      <c r="AC87" s="25"/>
      <c r="AD87" s="26"/>
    </row>
    <row r="88">
      <c r="A88" s="22" t="str">
        <f t="shared" si="1"/>
        <v>TC0077</v>
      </c>
      <c r="B88" s="23"/>
      <c r="C88" s="5"/>
      <c r="D88" s="24"/>
      <c r="E88" s="25"/>
      <c r="F88" s="26"/>
      <c r="G88" s="27"/>
      <c r="H88" s="5"/>
      <c r="I88" s="27"/>
      <c r="J88" s="5"/>
      <c r="K88" s="28"/>
      <c r="L88" s="26"/>
      <c r="M88" s="24"/>
      <c r="N88" s="25"/>
      <c r="O88" s="26"/>
      <c r="P88" s="28"/>
      <c r="Q88" s="26"/>
      <c r="R88" s="28"/>
      <c r="S88" s="25"/>
      <c r="T88" s="26"/>
      <c r="U88" s="28"/>
      <c r="V88" s="25"/>
      <c r="W88" s="26"/>
      <c r="X88" s="29"/>
      <c r="Y88" s="26"/>
      <c r="Z88" s="29"/>
      <c r="AA88" s="26"/>
      <c r="AB88" s="28"/>
      <c r="AC88" s="25"/>
      <c r="AD88" s="26"/>
    </row>
    <row r="89">
      <c r="A89" s="22" t="str">
        <f t="shared" si="1"/>
        <v>TC0078</v>
      </c>
      <c r="B89" s="23"/>
      <c r="C89" s="5"/>
      <c r="D89" s="24"/>
      <c r="E89" s="25"/>
      <c r="F89" s="26"/>
      <c r="G89" s="27"/>
      <c r="H89" s="5"/>
      <c r="I89" s="27"/>
      <c r="J89" s="5"/>
      <c r="K89" s="28"/>
      <c r="L89" s="26"/>
      <c r="M89" s="24"/>
      <c r="N89" s="25"/>
      <c r="O89" s="26"/>
      <c r="P89" s="28"/>
      <c r="Q89" s="26"/>
      <c r="R89" s="28"/>
      <c r="S89" s="25"/>
      <c r="T89" s="26"/>
      <c r="U89" s="28"/>
      <c r="V89" s="25"/>
      <c r="W89" s="26"/>
      <c r="X89" s="29"/>
      <c r="Y89" s="26"/>
      <c r="Z89" s="29"/>
      <c r="AA89" s="26"/>
      <c r="AB89" s="28"/>
      <c r="AC89" s="25"/>
      <c r="AD89" s="26"/>
    </row>
    <row r="90">
      <c r="A90" s="22" t="str">
        <f t="shared" si="1"/>
        <v>TC0079</v>
      </c>
      <c r="B90" s="23"/>
      <c r="C90" s="5"/>
      <c r="D90" s="24"/>
      <c r="E90" s="25"/>
      <c r="F90" s="26"/>
      <c r="G90" s="27"/>
      <c r="H90" s="5"/>
      <c r="I90" s="27"/>
      <c r="J90" s="5"/>
      <c r="K90" s="28"/>
      <c r="L90" s="26"/>
      <c r="M90" s="24"/>
      <c r="N90" s="25"/>
      <c r="O90" s="26"/>
      <c r="P90" s="28"/>
      <c r="Q90" s="26"/>
      <c r="R90" s="28"/>
      <c r="S90" s="25"/>
      <c r="T90" s="26"/>
      <c r="U90" s="28"/>
      <c r="V90" s="25"/>
      <c r="W90" s="26"/>
      <c r="X90" s="29"/>
      <c r="Y90" s="26"/>
      <c r="Z90" s="29"/>
      <c r="AA90" s="26"/>
      <c r="AB90" s="28"/>
      <c r="AC90" s="25"/>
      <c r="AD90" s="26"/>
    </row>
    <row r="91">
      <c r="A91" s="22" t="str">
        <f t="shared" si="1"/>
        <v>TC0080</v>
      </c>
      <c r="B91" s="23"/>
      <c r="C91" s="5"/>
      <c r="D91" s="24"/>
      <c r="E91" s="25"/>
      <c r="F91" s="26"/>
      <c r="G91" s="27"/>
      <c r="H91" s="5"/>
      <c r="I91" s="27"/>
      <c r="J91" s="5"/>
      <c r="K91" s="28"/>
      <c r="L91" s="26"/>
      <c r="M91" s="24"/>
      <c r="N91" s="25"/>
      <c r="O91" s="26"/>
      <c r="P91" s="28"/>
      <c r="Q91" s="26"/>
      <c r="R91" s="28"/>
      <c r="S91" s="25"/>
      <c r="T91" s="26"/>
      <c r="U91" s="28"/>
      <c r="V91" s="25"/>
      <c r="W91" s="26"/>
      <c r="X91" s="29"/>
      <c r="Y91" s="26"/>
      <c r="Z91" s="29"/>
      <c r="AA91" s="26"/>
      <c r="AB91" s="28"/>
      <c r="AC91" s="25"/>
      <c r="AD91" s="26"/>
    </row>
    <row r="92">
      <c r="A92" s="22" t="str">
        <f t="shared" si="1"/>
        <v>TC0081</v>
      </c>
      <c r="B92" s="23"/>
      <c r="C92" s="5"/>
      <c r="D92" s="24"/>
      <c r="E92" s="25"/>
      <c r="F92" s="26"/>
      <c r="G92" s="27"/>
      <c r="H92" s="5"/>
      <c r="I92" s="27"/>
      <c r="J92" s="5"/>
      <c r="K92" s="28"/>
      <c r="L92" s="26"/>
      <c r="M92" s="24"/>
      <c r="N92" s="25"/>
      <c r="O92" s="26"/>
      <c r="P92" s="28"/>
      <c r="Q92" s="26"/>
      <c r="R92" s="28"/>
      <c r="S92" s="25"/>
      <c r="T92" s="26"/>
      <c r="U92" s="28"/>
      <c r="V92" s="25"/>
      <c r="W92" s="26"/>
      <c r="X92" s="29"/>
      <c r="Y92" s="26"/>
      <c r="Z92" s="29"/>
      <c r="AA92" s="26"/>
      <c r="AB92" s="28"/>
      <c r="AC92" s="25"/>
      <c r="AD92" s="26"/>
    </row>
    <row r="93">
      <c r="A93" s="22" t="str">
        <f t="shared" si="1"/>
        <v>TC0082</v>
      </c>
      <c r="B93" s="23"/>
      <c r="C93" s="5"/>
      <c r="D93" s="24"/>
      <c r="E93" s="25"/>
      <c r="F93" s="26"/>
      <c r="G93" s="27"/>
      <c r="H93" s="5"/>
      <c r="I93" s="27"/>
      <c r="J93" s="5"/>
      <c r="K93" s="28"/>
      <c r="L93" s="26"/>
      <c r="M93" s="24"/>
      <c r="N93" s="25"/>
      <c r="O93" s="26"/>
      <c r="P93" s="28"/>
      <c r="Q93" s="26"/>
      <c r="R93" s="28"/>
      <c r="S93" s="25"/>
      <c r="T93" s="26"/>
      <c r="U93" s="28"/>
      <c r="V93" s="25"/>
      <c r="W93" s="26"/>
      <c r="X93" s="29"/>
      <c r="Y93" s="26"/>
      <c r="Z93" s="29"/>
      <c r="AA93" s="26"/>
      <c r="AB93" s="28"/>
      <c r="AC93" s="25"/>
      <c r="AD93" s="26"/>
    </row>
    <row r="94">
      <c r="A94" s="22" t="str">
        <f t="shared" si="1"/>
        <v>TC0083</v>
      </c>
      <c r="B94" s="23"/>
      <c r="C94" s="5"/>
      <c r="D94" s="24"/>
      <c r="E94" s="25"/>
      <c r="F94" s="26"/>
      <c r="G94" s="27"/>
      <c r="H94" s="5"/>
      <c r="I94" s="27"/>
      <c r="J94" s="5"/>
      <c r="K94" s="28"/>
      <c r="L94" s="26"/>
      <c r="M94" s="24"/>
      <c r="N94" s="25"/>
      <c r="O94" s="26"/>
      <c r="P94" s="28"/>
      <c r="Q94" s="26"/>
      <c r="R94" s="28"/>
      <c r="S94" s="25"/>
      <c r="T94" s="26"/>
      <c r="U94" s="28"/>
      <c r="V94" s="25"/>
      <c r="W94" s="26"/>
      <c r="X94" s="29"/>
      <c r="Y94" s="26"/>
      <c r="Z94" s="29"/>
      <c r="AA94" s="26"/>
      <c r="AB94" s="28"/>
      <c r="AC94" s="25"/>
      <c r="AD94" s="26"/>
    </row>
    <row r="95">
      <c r="A95" s="22" t="str">
        <f t="shared" si="1"/>
        <v>TC0084</v>
      </c>
      <c r="B95" s="23"/>
      <c r="C95" s="5"/>
      <c r="D95" s="24"/>
      <c r="E95" s="25"/>
      <c r="F95" s="26"/>
      <c r="G95" s="27"/>
      <c r="H95" s="5"/>
      <c r="I95" s="27"/>
      <c r="J95" s="5"/>
      <c r="K95" s="28"/>
      <c r="L95" s="26"/>
      <c r="M95" s="24"/>
      <c r="N95" s="25"/>
      <c r="O95" s="26"/>
      <c r="P95" s="28"/>
      <c r="Q95" s="26"/>
      <c r="R95" s="28"/>
      <c r="S95" s="25"/>
      <c r="T95" s="26"/>
      <c r="U95" s="28"/>
      <c r="V95" s="25"/>
      <c r="W95" s="26"/>
      <c r="X95" s="29"/>
      <c r="Y95" s="26"/>
      <c r="Z95" s="29"/>
      <c r="AA95" s="26"/>
      <c r="AB95" s="28"/>
      <c r="AC95" s="25"/>
      <c r="AD95" s="26"/>
    </row>
    <row r="96">
      <c r="A96" s="22" t="str">
        <f t="shared" si="1"/>
        <v>TC0085</v>
      </c>
      <c r="B96" s="23"/>
      <c r="C96" s="5"/>
      <c r="D96" s="24"/>
      <c r="E96" s="25"/>
      <c r="F96" s="26"/>
      <c r="G96" s="27"/>
      <c r="H96" s="5"/>
      <c r="I96" s="27"/>
      <c r="J96" s="5"/>
      <c r="K96" s="28"/>
      <c r="L96" s="26"/>
      <c r="M96" s="24"/>
      <c r="N96" s="25"/>
      <c r="O96" s="26"/>
      <c r="P96" s="28"/>
      <c r="Q96" s="26"/>
      <c r="R96" s="28"/>
      <c r="S96" s="25"/>
      <c r="T96" s="26"/>
      <c r="U96" s="28"/>
      <c r="V96" s="25"/>
      <c r="W96" s="26"/>
      <c r="X96" s="29"/>
      <c r="Y96" s="26"/>
      <c r="Z96" s="29"/>
      <c r="AA96" s="26"/>
      <c r="AB96" s="28"/>
      <c r="AC96" s="25"/>
      <c r="AD96" s="26"/>
    </row>
    <row r="97">
      <c r="A97" s="22" t="str">
        <f t="shared" si="1"/>
        <v>TC0086</v>
      </c>
      <c r="B97" s="23"/>
      <c r="C97" s="5"/>
      <c r="D97" s="24"/>
      <c r="E97" s="25"/>
      <c r="F97" s="26"/>
      <c r="G97" s="27"/>
      <c r="H97" s="5"/>
      <c r="I97" s="27"/>
      <c r="J97" s="5"/>
      <c r="K97" s="28"/>
      <c r="L97" s="26"/>
      <c r="M97" s="24"/>
      <c r="N97" s="25"/>
      <c r="O97" s="26"/>
      <c r="P97" s="28"/>
      <c r="Q97" s="26"/>
      <c r="R97" s="28"/>
      <c r="S97" s="25"/>
      <c r="T97" s="26"/>
      <c r="U97" s="28"/>
      <c r="V97" s="25"/>
      <c r="W97" s="26"/>
      <c r="X97" s="29"/>
      <c r="Y97" s="26"/>
      <c r="Z97" s="29"/>
      <c r="AA97" s="26"/>
      <c r="AB97" s="28"/>
      <c r="AC97" s="25"/>
      <c r="AD97" s="26"/>
    </row>
    <row r="98">
      <c r="A98" s="22" t="str">
        <f t="shared" si="1"/>
        <v>TC0087</v>
      </c>
      <c r="B98" s="23"/>
      <c r="C98" s="5"/>
      <c r="D98" s="24"/>
      <c r="E98" s="25"/>
      <c r="F98" s="26"/>
      <c r="G98" s="27"/>
      <c r="H98" s="5"/>
      <c r="I98" s="27"/>
      <c r="J98" s="5"/>
      <c r="K98" s="28"/>
      <c r="L98" s="26"/>
      <c r="M98" s="24"/>
      <c r="N98" s="25"/>
      <c r="O98" s="26"/>
      <c r="P98" s="28"/>
      <c r="Q98" s="26"/>
      <c r="R98" s="28"/>
      <c r="S98" s="25"/>
      <c r="T98" s="26"/>
      <c r="U98" s="28"/>
      <c r="V98" s="25"/>
      <c r="W98" s="26"/>
      <c r="X98" s="29"/>
      <c r="Y98" s="26"/>
      <c r="Z98" s="29"/>
      <c r="AA98" s="26"/>
      <c r="AB98" s="28"/>
      <c r="AC98" s="25"/>
      <c r="AD98" s="26"/>
    </row>
    <row r="99">
      <c r="A99" s="22" t="str">
        <f t="shared" si="1"/>
        <v>TC0088</v>
      </c>
      <c r="B99" s="23"/>
      <c r="C99" s="5"/>
      <c r="D99" s="24"/>
      <c r="E99" s="25"/>
      <c r="F99" s="26"/>
      <c r="G99" s="27"/>
      <c r="H99" s="5"/>
      <c r="I99" s="27"/>
      <c r="J99" s="5"/>
      <c r="K99" s="28"/>
      <c r="L99" s="26"/>
      <c r="M99" s="24"/>
      <c r="N99" s="25"/>
      <c r="O99" s="26"/>
      <c r="P99" s="28"/>
      <c r="Q99" s="26"/>
      <c r="R99" s="28"/>
      <c r="S99" s="25"/>
      <c r="T99" s="26"/>
      <c r="U99" s="28"/>
      <c r="V99" s="25"/>
      <c r="W99" s="26"/>
      <c r="X99" s="29"/>
      <c r="Y99" s="26"/>
      <c r="Z99" s="29"/>
      <c r="AA99" s="26"/>
      <c r="AB99" s="28"/>
      <c r="AC99" s="25"/>
      <c r="AD99" s="26"/>
    </row>
    <row r="100">
      <c r="A100" s="22" t="str">
        <f t="shared" si="1"/>
        <v>TC0089</v>
      </c>
      <c r="B100" s="23"/>
      <c r="C100" s="5"/>
      <c r="D100" s="24"/>
      <c r="E100" s="25"/>
      <c r="F100" s="26"/>
      <c r="G100" s="27"/>
      <c r="H100" s="5"/>
      <c r="I100" s="27"/>
      <c r="J100" s="5"/>
      <c r="K100" s="28"/>
      <c r="L100" s="26"/>
      <c r="M100" s="24"/>
      <c r="N100" s="25"/>
      <c r="O100" s="26"/>
      <c r="P100" s="28"/>
      <c r="Q100" s="26"/>
      <c r="R100" s="28"/>
      <c r="S100" s="25"/>
      <c r="T100" s="26"/>
      <c r="U100" s="28"/>
      <c r="V100" s="25"/>
      <c r="W100" s="26"/>
      <c r="X100" s="29"/>
      <c r="Y100" s="26"/>
      <c r="Z100" s="29"/>
      <c r="AA100" s="26"/>
      <c r="AB100" s="28"/>
      <c r="AC100" s="25"/>
      <c r="AD100" s="26"/>
    </row>
    <row r="101">
      <c r="A101" s="22" t="str">
        <f t="shared" si="1"/>
        <v>TC0090</v>
      </c>
      <c r="B101" s="23"/>
      <c r="C101" s="5"/>
      <c r="D101" s="24"/>
      <c r="E101" s="25"/>
      <c r="F101" s="26"/>
      <c r="G101" s="27"/>
      <c r="H101" s="5"/>
      <c r="I101" s="27"/>
      <c r="J101" s="5"/>
      <c r="K101" s="28"/>
      <c r="L101" s="26"/>
      <c r="M101" s="24"/>
      <c r="N101" s="25"/>
      <c r="O101" s="26"/>
      <c r="P101" s="28"/>
      <c r="Q101" s="26"/>
      <c r="R101" s="28"/>
      <c r="S101" s="25"/>
      <c r="T101" s="26"/>
      <c r="U101" s="28"/>
      <c r="V101" s="25"/>
      <c r="W101" s="26"/>
      <c r="X101" s="29"/>
      <c r="Y101" s="26"/>
      <c r="Z101" s="29"/>
      <c r="AA101" s="26"/>
      <c r="AB101" s="28"/>
      <c r="AC101" s="25"/>
      <c r="AD101" s="26"/>
    </row>
    <row r="102">
      <c r="A102" s="22" t="str">
        <f t="shared" si="1"/>
        <v>TC0091</v>
      </c>
      <c r="B102" s="23"/>
      <c r="C102" s="5"/>
      <c r="D102" s="24"/>
      <c r="E102" s="25"/>
      <c r="F102" s="26"/>
      <c r="G102" s="27"/>
      <c r="H102" s="5"/>
      <c r="I102" s="27"/>
      <c r="J102" s="5"/>
      <c r="K102" s="28"/>
      <c r="L102" s="26"/>
      <c r="M102" s="24"/>
      <c r="N102" s="25"/>
      <c r="O102" s="26"/>
      <c r="P102" s="28"/>
      <c r="Q102" s="26"/>
      <c r="R102" s="28"/>
      <c r="S102" s="25"/>
      <c r="T102" s="26"/>
      <c r="U102" s="28"/>
      <c r="V102" s="25"/>
      <c r="W102" s="26"/>
      <c r="X102" s="29"/>
      <c r="Y102" s="26"/>
      <c r="Z102" s="29"/>
      <c r="AA102" s="26"/>
      <c r="AB102" s="28"/>
      <c r="AC102" s="25"/>
      <c r="AD102" s="26"/>
    </row>
    <row r="103">
      <c r="A103" s="22" t="str">
        <f t="shared" si="1"/>
        <v>TC0092</v>
      </c>
      <c r="B103" s="23"/>
      <c r="C103" s="5"/>
      <c r="D103" s="24"/>
      <c r="E103" s="25"/>
      <c r="F103" s="26"/>
      <c r="G103" s="27"/>
      <c r="H103" s="5"/>
      <c r="I103" s="27"/>
      <c r="J103" s="5"/>
      <c r="K103" s="28"/>
      <c r="L103" s="26"/>
      <c r="M103" s="24"/>
      <c r="N103" s="25"/>
      <c r="O103" s="26"/>
      <c r="P103" s="28"/>
      <c r="Q103" s="26"/>
      <c r="R103" s="28"/>
      <c r="S103" s="25"/>
      <c r="T103" s="26"/>
      <c r="U103" s="28"/>
      <c r="V103" s="25"/>
      <c r="W103" s="26"/>
      <c r="X103" s="29"/>
      <c r="Y103" s="26"/>
      <c r="Z103" s="29"/>
      <c r="AA103" s="26"/>
      <c r="AB103" s="28"/>
      <c r="AC103" s="25"/>
      <c r="AD103" s="26"/>
    </row>
    <row r="104">
      <c r="A104" s="22" t="str">
        <f t="shared" si="1"/>
        <v>TC0093</v>
      </c>
      <c r="B104" s="23"/>
      <c r="C104" s="5"/>
      <c r="D104" s="24"/>
      <c r="E104" s="25"/>
      <c r="F104" s="26"/>
      <c r="G104" s="27"/>
      <c r="H104" s="5"/>
      <c r="I104" s="27"/>
      <c r="J104" s="5"/>
      <c r="K104" s="28"/>
      <c r="L104" s="26"/>
      <c r="M104" s="24"/>
      <c r="N104" s="25"/>
      <c r="O104" s="26"/>
      <c r="P104" s="28"/>
      <c r="Q104" s="26"/>
      <c r="R104" s="28"/>
      <c r="S104" s="25"/>
      <c r="T104" s="26"/>
      <c r="U104" s="28"/>
      <c r="V104" s="25"/>
      <c r="W104" s="26"/>
      <c r="X104" s="29"/>
      <c r="Y104" s="26"/>
      <c r="Z104" s="29"/>
      <c r="AA104" s="26"/>
      <c r="AB104" s="28"/>
      <c r="AC104" s="25"/>
      <c r="AD104" s="26"/>
    </row>
    <row r="105">
      <c r="A105" s="22" t="str">
        <f t="shared" si="1"/>
        <v>TC0094</v>
      </c>
      <c r="B105" s="23"/>
      <c r="C105" s="5"/>
      <c r="D105" s="24"/>
      <c r="E105" s="25"/>
      <c r="F105" s="26"/>
      <c r="G105" s="27"/>
      <c r="H105" s="5"/>
      <c r="I105" s="27"/>
      <c r="J105" s="5"/>
      <c r="K105" s="28"/>
      <c r="L105" s="26"/>
      <c r="M105" s="24"/>
      <c r="N105" s="25"/>
      <c r="O105" s="26"/>
      <c r="P105" s="28"/>
      <c r="Q105" s="26"/>
      <c r="R105" s="28"/>
      <c r="S105" s="25"/>
      <c r="T105" s="26"/>
      <c r="U105" s="28"/>
      <c r="V105" s="25"/>
      <c r="W105" s="26"/>
      <c r="X105" s="29"/>
      <c r="Y105" s="26"/>
      <c r="Z105" s="29"/>
      <c r="AA105" s="26"/>
      <c r="AB105" s="28"/>
      <c r="AC105" s="25"/>
      <c r="AD105" s="26"/>
    </row>
    <row r="106">
      <c r="A106" s="22" t="str">
        <f t="shared" si="1"/>
        <v>TC0095</v>
      </c>
      <c r="B106" s="23"/>
      <c r="C106" s="5"/>
      <c r="D106" s="24"/>
      <c r="E106" s="25"/>
      <c r="F106" s="26"/>
      <c r="G106" s="27"/>
      <c r="H106" s="5"/>
      <c r="I106" s="27"/>
      <c r="J106" s="5"/>
      <c r="K106" s="28"/>
      <c r="L106" s="26"/>
      <c r="M106" s="24"/>
      <c r="N106" s="25"/>
      <c r="O106" s="26"/>
      <c r="P106" s="28"/>
      <c r="Q106" s="26"/>
      <c r="R106" s="28"/>
      <c r="S106" s="25"/>
      <c r="T106" s="26"/>
      <c r="U106" s="28"/>
      <c r="V106" s="25"/>
      <c r="W106" s="26"/>
      <c r="X106" s="29"/>
      <c r="Y106" s="26"/>
      <c r="Z106" s="29"/>
      <c r="AA106" s="26"/>
      <c r="AB106" s="28"/>
      <c r="AC106" s="25"/>
      <c r="AD106" s="26"/>
    </row>
    <row r="107">
      <c r="A107" s="22" t="str">
        <f t="shared" si="1"/>
        <v>TC0096</v>
      </c>
      <c r="B107" s="23"/>
      <c r="C107" s="5"/>
      <c r="D107" s="24"/>
      <c r="E107" s="25"/>
      <c r="F107" s="26"/>
      <c r="G107" s="27"/>
      <c r="H107" s="5"/>
      <c r="I107" s="27"/>
      <c r="J107" s="5"/>
      <c r="K107" s="28"/>
      <c r="L107" s="26"/>
      <c r="M107" s="24"/>
      <c r="N107" s="25"/>
      <c r="O107" s="26"/>
      <c r="P107" s="28"/>
      <c r="Q107" s="26"/>
      <c r="R107" s="28"/>
      <c r="S107" s="25"/>
      <c r="T107" s="26"/>
      <c r="U107" s="28"/>
      <c r="V107" s="25"/>
      <c r="W107" s="26"/>
      <c r="X107" s="29"/>
      <c r="Y107" s="26"/>
      <c r="Z107" s="29"/>
      <c r="AA107" s="26"/>
      <c r="AB107" s="28"/>
      <c r="AC107" s="25"/>
      <c r="AD107" s="26"/>
    </row>
    <row r="108">
      <c r="A108" s="22" t="str">
        <f t="shared" si="1"/>
        <v>TC0097</v>
      </c>
      <c r="B108" s="23"/>
      <c r="C108" s="5"/>
      <c r="D108" s="24"/>
      <c r="E108" s="25"/>
      <c r="F108" s="26"/>
      <c r="G108" s="27"/>
      <c r="H108" s="5"/>
      <c r="I108" s="27"/>
      <c r="J108" s="5"/>
      <c r="K108" s="28"/>
      <c r="L108" s="26"/>
      <c r="M108" s="24"/>
      <c r="N108" s="25"/>
      <c r="O108" s="26"/>
      <c r="P108" s="28"/>
      <c r="Q108" s="26"/>
      <c r="R108" s="28"/>
      <c r="S108" s="25"/>
      <c r="T108" s="26"/>
      <c r="U108" s="28"/>
      <c r="V108" s="25"/>
      <c r="W108" s="26"/>
      <c r="X108" s="29"/>
      <c r="Y108" s="26"/>
      <c r="Z108" s="29"/>
      <c r="AA108" s="26"/>
      <c r="AB108" s="28"/>
      <c r="AC108" s="25"/>
      <c r="AD108" s="26"/>
    </row>
    <row r="109">
      <c r="A109" s="22" t="str">
        <f t="shared" si="1"/>
        <v>TC0098</v>
      </c>
      <c r="B109" s="23"/>
      <c r="C109" s="5"/>
      <c r="D109" s="24"/>
      <c r="E109" s="25"/>
      <c r="F109" s="26"/>
      <c r="G109" s="27"/>
      <c r="H109" s="5"/>
      <c r="I109" s="27"/>
      <c r="J109" s="5"/>
      <c r="K109" s="28"/>
      <c r="L109" s="26"/>
      <c r="M109" s="24"/>
      <c r="N109" s="25"/>
      <c r="O109" s="26"/>
      <c r="P109" s="28"/>
      <c r="Q109" s="26"/>
      <c r="R109" s="28"/>
      <c r="S109" s="25"/>
      <c r="T109" s="26"/>
      <c r="U109" s="28"/>
      <c r="V109" s="25"/>
      <c r="W109" s="26"/>
      <c r="X109" s="29"/>
      <c r="Y109" s="26"/>
      <c r="Z109" s="29"/>
      <c r="AA109" s="26"/>
      <c r="AB109" s="28"/>
      <c r="AC109" s="25"/>
      <c r="AD109" s="26"/>
    </row>
    <row r="110">
      <c r="A110" s="22" t="str">
        <f t="shared" si="1"/>
        <v>TC0099</v>
      </c>
      <c r="B110" s="23"/>
      <c r="C110" s="5"/>
      <c r="D110" s="24"/>
      <c r="E110" s="25"/>
      <c r="F110" s="26"/>
      <c r="G110" s="27"/>
      <c r="H110" s="5"/>
      <c r="I110" s="27"/>
      <c r="J110" s="5"/>
      <c r="K110" s="28"/>
      <c r="L110" s="26"/>
      <c r="M110" s="24"/>
      <c r="N110" s="25"/>
      <c r="O110" s="26"/>
      <c r="P110" s="28"/>
      <c r="Q110" s="26"/>
      <c r="R110" s="28"/>
      <c r="S110" s="25"/>
      <c r="T110" s="26"/>
      <c r="U110" s="28"/>
      <c r="V110" s="25"/>
      <c r="W110" s="26"/>
      <c r="X110" s="29"/>
      <c r="Y110" s="26"/>
      <c r="Z110" s="29"/>
      <c r="AA110" s="26"/>
      <c r="AB110" s="28"/>
      <c r="AC110" s="25"/>
      <c r="AD110" s="26"/>
    </row>
    <row r="111">
      <c r="A111" s="22" t="str">
        <f t="shared" si="1"/>
        <v>TC0100</v>
      </c>
      <c r="B111" s="23"/>
      <c r="C111" s="5"/>
      <c r="D111" s="24"/>
      <c r="E111" s="25"/>
      <c r="F111" s="26"/>
      <c r="G111" s="27"/>
      <c r="H111" s="5"/>
      <c r="I111" s="27"/>
      <c r="J111" s="5"/>
      <c r="K111" s="28"/>
      <c r="L111" s="26"/>
      <c r="M111" s="24"/>
      <c r="N111" s="25"/>
      <c r="O111" s="26"/>
      <c r="P111" s="28"/>
      <c r="Q111" s="26"/>
      <c r="R111" s="28"/>
      <c r="S111" s="25"/>
      <c r="T111" s="26"/>
      <c r="U111" s="28"/>
      <c r="V111" s="25"/>
      <c r="W111" s="26"/>
      <c r="X111" s="29"/>
      <c r="Y111" s="26"/>
      <c r="Z111" s="29"/>
      <c r="AA111" s="26"/>
      <c r="AB111" s="28"/>
      <c r="AC111" s="25"/>
      <c r="AD111" s="26"/>
    </row>
    <row r="112">
      <c r="A112" s="22" t="str">
        <f t="shared" si="1"/>
        <v>TC0101</v>
      </c>
      <c r="B112" s="23"/>
      <c r="C112" s="5"/>
      <c r="D112" s="24"/>
      <c r="E112" s="25"/>
      <c r="F112" s="26"/>
      <c r="G112" s="27"/>
      <c r="H112" s="5"/>
      <c r="I112" s="27"/>
      <c r="J112" s="5"/>
      <c r="K112" s="28"/>
      <c r="L112" s="26"/>
      <c r="M112" s="24"/>
      <c r="N112" s="25"/>
      <c r="O112" s="26"/>
      <c r="P112" s="28"/>
      <c r="Q112" s="26"/>
      <c r="R112" s="28"/>
      <c r="S112" s="25"/>
      <c r="T112" s="26"/>
      <c r="U112" s="28"/>
      <c r="V112" s="25"/>
      <c r="W112" s="26"/>
      <c r="X112" s="29"/>
      <c r="Y112" s="26"/>
      <c r="Z112" s="29"/>
      <c r="AA112" s="26"/>
      <c r="AB112" s="28"/>
      <c r="AC112" s="25"/>
      <c r="AD112" s="26"/>
    </row>
    <row r="113">
      <c r="A113" s="22" t="str">
        <f t="shared" si="1"/>
        <v>TC0102</v>
      </c>
      <c r="B113" s="23"/>
      <c r="C113" s="5"/>
      <c r="D113" s="24"/>
      <c r="E113" s="25"/>
      <c r="F113" s="26"/>
      <c r="G113" s="27"/>
      <c r="H113" s="5"/>
      <c r="I113" s="27"/>
      <c r="J113" s="5"/>
      <c r="K113" s="28"/>
      <c r="L113" s="26"/>
      <c r="M113" s="24"/>
      <c r="N113" s="25"/>
      <c r="O113" s="26"/>
      <c r="P113" s="28"/>
      <c r="Q113" s="26"/>
      <c r="R113" s="28"/>
      <c r="S113" s="25"/>
      <c r="T113" s="26"/>
      <c r="U113" s="28"/>
      <c r="V113" s="25"/>
      <c r="W113" s="26"/>
      <c r="X113" s="29"/>
      <c r="Y113" s="26"/>
      <c r="Z113" s="29"/>
      <c r="AA113" s="26"/>
      <c r="AB113" s="28"/>
      <c r="AC113" s="25"/>
      <c r="AD113" s="26"/>
    </row>
    <row r="114">
      <c r="A114" s="22" t="str">
        <f t="shared" si="1"/>
        <v>TC0103</v>
      </c>
      <c r="B114" s="23"/>
      <c r="C114" s="5"/>
      <c r="D114" s="24"/>
      <c r="E114" s="25"/>
      <c r="F114" s="26"/>
      <c r="G114" s="27"/>
      <c r="H114" s="5"/>
      <c r="I114" s="27"/>
      <c r="J114" s="5"/>
      <c r="K114" s="28"/>
      <c r="L114" s="26"/>
      <c r="M114" s="24"/>
      <c r="N114" s="25"/>
      <c r="O114" s="26"/>
      <c r="P114" s="28"/>
      <c r="Q114" s="26"/>
      <c r="R114" s="28"/>
      <c r="S114" s="25"/>
      <c r="T114" s="26"/>
      <c r="U114" s="28"/>
      <c r="V114" s="25"/>
      <c r="W114" s="26"/>
      <c r="X114" s="29"/>
      <c r="Y114" s="26"/>
      <c r="Z114" s="29"/>
      <c r="AA114" s="26"/>
      <c r="AB114" s="28"/>
      <c r="AC114" s="25"/>
      <c r="AD114" s="26"/>
    </row>
    <row r="115">
      <c r="A115" s="22" t="str">
        <f t="shared" si="1"/>
        <v>TC0104</v>
      </c>
      <c r="B115" s="23"/>
      <c r="C115" s="5"/>
      <c r="D115" s="24"/>
      <c r="E115" s="25"/>
      <c r="F115" s="26"/>
      <c r="G115" s="27"/>
      <c r="H115" s="5"/>
      <c r="I115" s="27"/>
      <c r="J115" s="5"/>
      <c r="K115" s="28"/>
      <c r="L115" s="26"/>
      <c r="M115" s="24"/>
      <c r="N115" s="25"/>
      <c r="O115" s="26"/>
      <c r="P115" s="28"/>
      <c r="Q115" s="26"/>
      <c r="R115" s="28"/>
      <c r="S115" s="25"/>
      <c r="T115" s="26"/>
      <c r="U115" s="28"/>
      <c r="V115" s="25"/>
      <c r="W115" s="26"/>
      <c r="X115" s="29"/>
      <c r="Y115" s="26"/>
      <c r="Z115" s="29"/>
      <c r="AA115" s="26"/>
      <c r="AB115" s="28"/>
      <c r="AC115" s="25"/>
      <c r="AD115" s="26"/>
    </row>
    <row r="116">
      <c r="A116" s="22" t="str">
        <f t="shared" si="1"/>
        <v>TC0105</v>
      </c>
      <c r="B116" s="23"/>
      <c r="C116" s="5"/>
      <c r="D116" s="24"/>
      <c r="E116" s="25"/>
      <c r="F116" s="26"/>
      <c r="G116" s="27"/>
      <c r="H116" s="5"/>
      <c r="I116" s="27"/>
      <c r="J116" s="5"/>
      <c r="K116" s="28"/>
      <c r="L116" s="26"/>
      <c r="M116" s="24"/>
      <c r="N116" s="25"/>
      <c r="O116" s="26"/>
      <c r="P116" s="28"/>
      <c r="Q116" s="26"/>
      <c r="R116" s="28"/>
      <c r="S116" s="25"/>
      <c r="T116" s="26"/>
      <c r="U116" s="28"/>
      <c r="V116" s="25"/>
      <c r="W116" s="26"/>
      <c r="X116" s="29"/>
      <c r="Y116" s="26"/>
      <c r="Z116" s="29"/>
      <c r="AA116" s="26"/>
      <c r="AB116" s="28"/>
      <c r="AC116" s="25"/>
      <c r="AD116" s="26"/>
    </row>
    <row r="117">
      <c r="A117" s="22" t="str">
        <f t="shared" si="1"/>
        <v>TC0106</v>
      </c>
      <c r="B117" s="23"/>
      <c r="C117" s="5"/>
      <c r="D117" s="24"/>
      <c r="E117" s="25"/>
      <c r="F117" s="26"/>
      <c r="G117" s="27"/>
      <c r="H117" s="5"/>
      <c r="I117" s="27"/>
      <c r="J117" s="5"/>
      <c r="K117" s="28"/>
      <c r="L117" s="26"/>
      <c r="M117" s="24"/>
      <c r="N117" s="25"/>
      <c r="O117" s="26"/>
      <c r="P117" s="28"/>
      <c r="Q117" s="26"/>
      <c r="R117" s="28"/>
      <c r="S117" s="25"/>
      <c r="T117" s="26"/>
      <c r="U117" s="28"/>
      <c r="V117" s="25"/>
      <c r="W117" s="26"/>
      <c r="X117" s="29"/>
      <c r="Y117" s="26"/>
      <c r="Z117" s="29"/>
      <c r="AA117" s="26"/>
      <c r="AB117" s="28"/>
      <c r="AC117" s="25"/>
      <c r="AD117" s="26"/>
    </row>
    <row r="118">
      <c r="A118" s="22" t="str">
        <f t="shared" si="1"/>
        <v>TC0107</v>
      </c>
      <c r="B118" s="23"/>
      <c r="C118" s="5"/>
      <c r="D118" s="24"/>
      <c r="E118" s="25"/>
      <c r="F118" s="26"/>
      <c r="G118" s="27"/>
      <c r="H118" s="5"/>
      <c r="I118" s="27"/>
      <c r="J118" s="5"/>
      <c r="K118" s="28"/>
      <c r="L118" s="26"/>
      <c r="M118" s="24"/>
      <c r="N118" s="25"/>
      <c r="O118" s="26"/>
      <c r="P118" s="28"/>
      <c r="Q118" s="26"/>
      <c r="R118" s="28"/>
      <c r="S118" s="25"/>
      <c r="T118" s="26"/>
      <c r="U118" s="28"/>
      <c r="V118" s="25"/>
      <c r="W118" s="26"/>
      <c r="X118" s="29"/>
      <c r="Y118" s="26"/>
      <c r="Z118" s="29"/>
      <c r="AA118" s="26"/>
      <c r="AB118" s="28"/>
      <c r="AC118" s="25"/>
      <c r="AD118" s="26"/>
    </row>
    <row r="119">
      <c r="A119" s="22" t="str">
        <f t="shared" si="1"/>
        <v>TC0108</v>
      </c>
      <c r="B119" s="23"/>
      <c r="C119" s="5"/>
      <c r="D119" s="24"/>
      <c r="E119" s="25"/>
      <c r="F119" s="26"/>
      <c r="G119" s="27"/>
      <c r="H119" s="5"/>
      <c r="I119" s="27"/>
      <c r="J119" s="5"/>
      <c r="K119" s="28"/>
      <c r="L119" s="26"/>
      <c r="M119" s="24"/>
      <c r="N119" s="25"/>
      <c r="O119" s="26"/>
      <c r="P119" s="28"/>
      <c r="Q119" s="26"/>
      <c r="R119" s="28"/>
      <c r="S119" s="25"/>
      <c r="T119" s="26"/>
      <c r="U119" s="28"/>
      <c r="V119" s="25"/>
      <c r="W119" s="26"/>
      <c r="X119" s="29"/>
      <c r="Y119" s="26"/>
      <c r="Z119" s="29"/>
      <c r="AA119" s="26"/>
      <c r="AB119" s="28"/>
      <c r="AC119" s="25"/>
      <c r="AD119" s="26"/>
    </row>
    <row r="120">
      <c r="A120" s="22" t="str">
        <f t="shared" si="1"/>
        <v>TC0109</v>
      </c>
      <c r="B120" s="23"/>
      <c r="C120" s="5"/>
      <c r="D120" s="24"/>
      <c r="E120" s="25"/>
      <c r="F120" s="26"/>
      <c r="G120" s="27"/>
      <c r="H120" s="5"/>
      <c r="I120" s="27"/>
      <c r="J120" s="5"/>
      <c r="K120" s="28"/>
      <c r="L120" s="26"/>
      <c r="M120" s="24"/>
      <c r="N120" s="25"/>
      <c r="O120" s="26"/>
      <c r="P120" s="28"/>
      <c r="Q120" s="26"/>
      <c r="R120" s="28"/>
      <c r="S120" s="25"/>
      <c r="T120" s="26"/>
      <c r="U120" s="28"/>
      <c r="V120" s="25"/>
      <c r="W120" s="26"/>
      <c r="X120" s="29"/>
      <c r="Y120" s="26"/>
      <c r="Z120" s="29"/>
      <c r="AA120" s="26"/>
      <c r="AB120" s="28"/>
      <c r="AC120" s="25"/>
      <c r="AD120" s="26"/>
    </row>
    <row r="121">
      <c r="A121" s="22" t="str">
        <f t="shared" si="1"/>
        <v>TC0110</v>
      </c>
      <c r="B121" s="23"/>
      <c r="C121" s="5"/>
      <c r="D121" s="24"/>
      <c r="E121" s="25"/>
      <c r="F121" s="26"/>
      <c r="G121" s="27"/>
      <c r="H121" s="5"/>
      <c r="I121" s="27"/>
      <c r="J121" s="5"/>
      <c r="K121" s="28"/>
      <c r="L121" s="26"/>
      <c r="M121" s="24"/>
      <c r="N121" s="25"/>
      <c r="O121" s="26"/>
      <c r="P121" s="28"/>
      <c r="Q121" s="26"/>
      <c r="R121" s="28"/>
      <c r="S121" s="25"/>
      <c r="T121" s="26"/>
      <c r="U121" s="28"/>
      <c r="V121" s="25"/>
      <c r="W121" s="26"/>
      <c r="X121" s="29"/>
      <c r="Y121" s="26"/>
      <c r="Z121" s="29"/>
      <c r="AA121" s="26"/>
      <c r="AB121" s="28"/>
      <c r="AC121" s="25"/>
      <c r="AD121" s="26"/>
    </row>
    <row r="122">
      <c r="A122" s="22" t="str">
        <f t="shared" si="1"/>
        <v>TC0111</v>
      </c>
      <c r="B122" s="23"/>
      <c r="C122" s="5"/>
      <c r="D122" s="24"/>
      <c r="E122" s="25"/>
      <c r="F122" s="26"/>
      <c r="G122" s="27"/>
      <c r="H122" s="5"/>
      <c r="I122" s="27"/>
      <c r="J122" s="5"/>
      <c r="K122" s="28"/>
      <c r="L122" s="26"/>
      <c r="M122" s="24"/>
      <c r="N122" s="25"/>
      <c r="O122" s="26"/>
      <c r="P122" s="28"/>
      <c r="Q122" s="26"/>
      <c r="R122" s="28"/>
      <c r="S122" s="25"/>
      <c r="T122" s="26"/>
      <c r="U122" s="28"/>
      <c r="V122" s="25"/>
      <c r="W122" s="26"/>
      <c r="X122" s="29"/>
      <c r="Y122" s="26"/>
      <c r="Z122" s="29"/>
      <c r="AA122" s="26"/>
      <c r="AB122" s="28"/>
      <c r="AC122" s="25"/>
      <c r="AD122" s="26"/>
    </row>
    <row r="123">
      <c r="A123" s="22" t="str">
        <f t="shared" si="1"/>
        <v>TC0112</v>
      </c>
      <c r="B123" s="23"/>
      <c r="C123" s="5"/>
      <c r="D123" s="24"/>
      <c r="E123" s="25"/>
      <c r="F123" s="26"/>
      <c r="G123" s="27"/>
      <c r="H123" s="5"/>
      <c r="I123" s="27"/>
      <c r="J123" s="5"/>
      <c r="K123" s="28"/>
      <c r="L123" s="26"/>
      <c r="M123" s="24"/>
      <c r="N123" s="25"/>
      <c r="O123" s="26"/>
      <c r="P123" s="28"/>
      <c r="Q123" s="26"/>
      <c r="R123" s="28"/>
      <c r="S123" s="25"/>
      <c r="T123" s="26"/>
      <c r="U123" s="28"/>
      <c r="V123" s="25"/>
      <c r="W123" s="26"/>
      <c r="X123" s="29"/>
      <c r="Y123" s="26"/>
      <c r="Z123" s="29"/>
      <c r="AA123" s="26"/>
      <c r="AB123" s="28"/>
      <c r="AC123" s="25"/>
      <c r="AD123" s="26"/>
    </row>
    <row r="124">
      <c r="A124" s="22" t="str">
        <f t="shared" si="1"/>
        <v>TC0113</v>
      </c>
      <c r="B124" s="23"/>
      <c r="C124" s="5"/>
      <c r="D124" s="24"/>
      <c r="E124" s="25"/>
      <c r="F124" s="26"/>
      <c r="G124" s="27"/>
      <c r="H124" s="5"/>
      <c r="I124" s="27"/>
      <c r="J124" s="5"/>
      <c r="K124" s="28"/>
      <c r="L124" s="26"/>
      <c r="M124" s="24"/>
      <c r="N124" s="25"/>
      <c r="O124" s="26"/>
      <c r="P124" s="28"/>
      <c r="Q124" s="26"/>
      <c r="R124" s="28"/>
      <c r="S124" s="25"/>
      <c r="T124" s="26"/>
      <c r="U124" s="28"/>
      <c r="V124" s="25"/>
      <c r="W124" s="26"/>
      <c r="X124" s="29"/>
      <c r="Y124" s="26"/>
      <c r="Z124" s="29"/>
      <c r="AA124" s="26"/>
      <c r="AB124" s="28"/>
      <c r="AC124" s="25"/>
      <c r="AD124" s="26"/>
    </row>
    <row r="125">
      <c r="A125" s="22" t="str">
        <f t="shared" si="1"/>
        <v>TC0114</v>
      </c>
      <c r="B125" s="23"/>
      <c r="C125" s="5"/>
      <c r="D125" s="24"/>
      <c r="E125" s="25"/>
      <c r="F125" s="26"/>
      <c r="G125" s="27"/>
      <c r="H125" s="5"/>
      <c r="I125" s="27"/>
      <c r="J125" s="5"/>
      <c r="K125" s="28"/>
      <c r="L125" s="26"/>
      <c r="M125" s="24"/>
      <c r="N125" s="25"/>
      <c r="O125" s="26"/>
      <c r="P125" s="28"/>
      <c r="Q125" s="26"/>
      <c r="R125" s="28"/>
      <c r="S125" s="25"/>
      <c r="T125" s="26"/>
      <c r="U125" s="28"/>
      <c r="V125" s="25"/>
      <c r="W125" s="26"/>
      <c r="X125" s="29"/>
      <c r="Y125" s="26"/>
      <c r="Z125" s="29"/>
      <c r="AA125" s="26"/>
      <c r="AB125" s="28"/>
      <c r="AC125" s="25"/>
      <c r="AD125" s="26"/>
    </row>
    <row r="126">
      <c r="A126" s="22" t="str">
        <f t="shared" si="1"/>
        <v>TC0115</v>
      </c>
      <c r="B126" s="23"/>
      <c r="C126" s="5"/>
      <c r="D126" s="24"/>
      <c r="E126" s="25"/>
      <c r="F126" s="26"/>
      <c r="G126" s="27"/>
      <c r="H126" s="5"/>
      <c r="I126" s="27"/>
      <c r="J126" s="5"/>
      <c r="K126" s="28"/>
      <c r="L126" s="26"/>
      <c r="M126" s="24"/>
      <c r="N126" s="25"/>
      <c r="O126" s="26"/>
      <c r="P126" s="28"/>
      <c r="Q126" s="26"/>
      <c r="R126" s="28"/>
      <c r="S126" s="25"/>
      <c r="T126" s="26"/>
      <c r="U126" s="28"/>
      <c r="V126" s="25"/>
      <c r="W126" s="26"/>
      <c r="X126" s="29"/>
      <c r="Y126" s="26"/>
      <c r="Z126" s="29"/>
      <c r="AA126" s="26"/>
      <c r="AB126" s="28"/>
      <c r="AC126" s="25"/>
      <c r="AD126" s="26"/>
    </row>
    <row r="127">
      <c r="A127" s="22" t="str">
        <f t="shared" si="1"/>
        <v>TC0116</v>
      </c>
      <c r="B127" s="23"/>
      <c r="C127" s="5"/>
      <c r="D127" s="24"/>
      <c r="E127" s="25"/>
      <c r="F127" s="26"/>
      <c r="G127" s="27"/>
      <c r="H127" s="5"/>
      <c r="I127" s="27"/>
      <c r="J127" s="5"/>
      <c r="K127" s="28"/>
      <c r="L127" s="26"/>
      <c r="M127" s="24"/>
      <c r="N127" s="25"/>
      <c r="O127" s="26"/>
      <c r="P127" s="28"/>
      <c r="Q127" s="26"/>
      <c r="R127" s="28"/>
      <c r="S127" s="25"/>
      <c r="T127" s="26"/>
      <c r="U127" s="28"/>
      <c r="V127" s="25"/>
      <c r="W127" s="26"/>
      <c r="X127" s="29"/>
      <c r="Y127" s="26"/>
      <c r="Z127" s="29"/>
      <c r="AA127" s="26"/>
      <c r="AB127" s="28"/>
      <c r="AC127" s="25"/>
      <c r="AD127" s="26"/>
    </row>
    <row r="128">
      <c r="A128" s="22" t="str">
        <f t="shared" si="1"/>
        <v>TC0117</v>
      </c>
      <c r="B128" s="23"/>
      <c r="C128" s="5"/>
      <c r="D128" s="24"/>
      <c r="E128" s="25"/>
      <c r="F128" s="26"/>
      <c r="G128" s="27"/>
      <c r="H128" s="5"/>
      <c r="I128" s="27"/>
      <c r="J128" s="5"/>
      <c r="K128" s="28"/>
      <c r="L128" s="26"/>
      <c r="M128" s="24"/>
      <c r="N128" s="25"/>
      <c r="O128" s="26"/>
      <c r="P128" s="28"/>
      <c r="Q128" s="26"/>
      <c r="R128" s="28"/>
      <c r="S128" s="25"/>
      <c r="T128" s="26"/>
      <c r="U128" s="28"/>
      <c r="V128" s="25"/>
      <c r="W128" s="26"/>
      <c r="X128" s="29"/>
      <c r="Y128" s="26"/>
      <c r="Z128" s="29"/>
      <c r="AA128" s="26"/>
      <c r="AB128" s="28"/>
      <c r="AC128" s="25"/>
      <c r="AD128" s="26"/>
    </row>
    <row r="129">
      <c r="A129" s="22" t="str">
        <f t="shared" si="1"/>
        <v>TC0118</v>
      </c>
      <c r="B129" s="23"/>
      <c r="C129" s="5"/>
      <c r="D129" s="24"/>
      <c r="E129" s="25"/>
      <c r="F129" s="26"/>
      <c r="G129" s="27"/>
      <c r="H129" s="5"/>
      <c r="I129" s="27"/>
      <c r="J129" s="5"/>
      <c r="K129" s="28"/>
      <c r="L129" s="26"/>
      <c r="M129" s="24"/>
      <c r="N129" s="25"/>
      <c r="O129" s="26"/>
      <c r="P129" s="28"/>
      <c r="Q129" s="26"/>
      <c r="R129" s="28"/>
      <c r="S129" s="25"/>
      <c r="T129" s="26"/>
      <c r="U129" s="28"/>
      <c r="V129" s="25"/>
      <c r="W129" s="26"/>
      <c r="X129" s="29"/>
      <c r="Y129" s="26"/>
      <c r="Z129" s="29"/>
      <c r="AA129" s="26"/>
      <c r="AB129" s="28"/>
      <c r="AC129" s="25"/>
      <c r="AD129" s="26"/>
    </row>
    <row r="130">
      <c r="A130" s="22" t="str">
        <f t="shared" si="1"/>
        <v>TC0119</v>
      </c>
      <c r="B130" s="23"/>
      <c r="C130" s="5"/>
      <c r="D130" s="24"/>
      <c r="E130" s="25"/>
      <c r="F130" s="26"/>
      <c r="G130" s="27"/>
      <c r="H130" s="5"/>
      <c r="I130" s="27"/>
      <c r="J130" s="5"/>
      <c r="K130" s="28"/>
      <c r="L130" s="26"/>
      <c r="M130" s="24"/>
      <c r="N130" s="25"/>
      <c r="O130" s="26"/>
      <c r="P130" s="28"/>
      <c r="Q130" s="26"/>
      <c r="R130" s="28"/>
      <c r="S130" s="25"/>
      <c r="T130" s="26"/>
      <c r="U130" s="28"/>
      <c r="V130" s="25"/>
      <c r="W130" s="26"/>
      <c r="X130" s="29"/>
      <c r="Y130" s="26"/>
      <c r="Z130" s="29"/>
      <c r="AA130" s="26"/>
      <c r="AB130" s="28"/>
      <c r="AC130" s="25"/>
      <c r="AD130" s="26"/>
    </row>
    <row r="131">
      <c r="A131" s="22" t="str">
        <f t="shared" si="1"/>
        <v>TC0120</v>
      </c>
      <c r="B131" s="23"/>
      <c r="C131" s="5"/>
      <c r="D131" s="24"/>
      <c r="E131" s="25"/>
      <c r="F131" s="26"/>
      <c r="G131" s="27"/>
      <c r="H131" s="5"/>
      <c r="I131" s="27"/>
      <c r="J131" s="5"/>
      <c r="K131" s="28"/>
      <c r="L131" s="26"/>
      <c r="M131" s="24"/>
      <c r="N131" s="25"/>
      <c r="O131" s="26"/>
      <c r="P131" s="28"/>
      <c r="Q131" s="26"/>
      <c r="R131" s="28"/>
      <c r="S131" s="25"/>
      <c r="T131" s="26"/>
      <c r="U131" s="28"/>
      <c r="V131" s="25"/>
      <c r="W131" s="26"/>
      <c r="X131" s="29"/>
      <c r="Y131" s="26"/>
      <c r="Z131" s="29"/>
      <c r="AA131" s="26"/>
      <c r="AB131" s="28"/>
      <c r="AC131" s="25"/>
      <c r="AD131" s="26"/>
    </row>
    <row r="132">
      <c r="A132" s="22" t="str">
        <f t="shared" si="1"/>
        <v>TC0121</v>
      </c>
      <c r="B132" s="23"/>
      <c r="C132" s="5"/>
      <c r="D132" s="24"/>
      <c r="E132" s="25"/>
      <c r="F132" s="26"/>
      <c r="G132" s="27"/>
      <c r="H132" s="5"/>
      <c r="I132" s="27"/>
      <c r="J132" s="5"/>
      <c r="K132" s="28"/>
      <c r="L132" s="26"/>
      <c r="M132" s="24"/>
      <c r="N132" s="25"/>
      <c r="O132" s="26"/>
      <c r="P132" s="28"/>
      <c r="Q132" s="26"/>
      <c r="R132" s="28"/>
      <c r="S132" s="25"/>
      <c r="T132" s="26"/>
      <c r="U132" s="28"/>
      <c r="V132" s="25"/>
      <c r="W132" s="26"/>
      <c r="X132" s="29"/>
      <c r="Y132" s="26"/>
      <c r="Z132" s="29"/>
      <c r="AA132" s="26"/>
      <c r="AB132" s="28"/>
      <c r="AC132" s="25"/>
      <c r="AD132" s="26"/>
    </row>
    <row r="133">
      <c r="A133" s="22" t="str">
        <f t="shared" si="1"/>
        <v>TC0122</v>
      </c>
      <c r="B133" s="23"/>
      <c r="C133" s="5"/>
      <c r="D133" s="24"/>
      <c r="E133" s="25"/>
      <c r="F133" s="26"/>
      <c r="G133" s="27"/>
      <c r="H133" s="5"/>
      <c r="I133" s="27"/>
      <c r="J133" s="5"/>
      <c r="K133" s="28"/>
      <c r="L133" s="26"/>
      <c r="M133" s="24"/>
      <c r="N133" s="25"/>
      <c r="O133" s="26"/>
      <c r="P133" s="28"/>
      <c r="Q133" s="26"/>
      <c r="R133" s="28"/>
      <c r="S133" s="25"/>
      <c r="T133" s="26"/>
      <c r="U133" s="28"/>
      <c r="V133" s="25"/>
      <c r="W133" s="26"/>
      <c r="X133" s="29"/>
      <c r="Y133" s="26"/>
      <c r="Z133" s="29"/>
      <c r="AA133" s="26"/>
      <c r="AB133" s="28"/>
      <c r="AC133" s="25"/>
      <c r="AD133" s="26"/>
    </row>
    <row r="134">
      <c r="A134" s="22" t="str">
        <f t="shared" si="1"/>
        <v>TC0123</v>
      </c>
      <c r="B134" s="23"/>
      <c r="C134" s="5"/>
      <c r="D134" s="24"/>
      <c r="E134" s="25"/>
      <c r="F134" s="26"/>
      <c r="G134" s="27"/>
      <c r="H134" s="5"/>
      <c r="I134" s="27"/>
      <c r="J134" s="5"/>
      <c r="K134" s="28"/>
      <c r="L134" s="26"/>
      <c r="M134" s="24"/>
      <c r="N134" s="25"/>
      <c r="O134" s="26"/>
      <c r="P134" s="28"/>
      <c r="Q134" s="26"/>
      <c r="R134" s="28"/>
      <c r="S134" s="25"/>
      <c r="T134" s="26"/>
      <c r="U134" s="28"/>
      <c r="V134" s="25"/>
      <c r="W134" s="26"/>
      <c r="X134" s="29"/>
      <c r="Y134" s="26"/>
      <c r="Z134" s="29"/>
      <c r="AA134" s="26"/>
      <c r="AB134" s="28"/>
      <c r="AC134" s="25"/>
      <c r="AD134" s="26"/>
    </row>
    <row r="135">
      <c r="A135" s="22" t="str">
        <f t="shared" si="1"/>
        <v>TC0124</v>
      </c>
      <c r="B135" s="23"/>
      <c r="C135" s="5"/>
      <c r="D135" s="24"/>
      <c r="E135" s="25"/>
      <c r="F135" s="26"/>
      <c r="G135" s="27"/>
      <c r="H135" s="5"/>
      <c r="I135" s="27"/>
      <c r="J135" s="5"/>
      <c r="K135" s="28"/>
      <c r="L135" s="26"/>
      <c r="M135" s="24"/>
      <c r="N135" s="25"/>
      <c r="O135" s="26"/>
      <c r="P135" s="28"/>
      <c r="Q135" s="26"/>
      <c r="R135" s="28"/>
      <c r="S135" s="25"/>
      <c r="T135" s="26"/>
      <c r="U135" s="28"/>
      <c r="V135" s="25"/>
      <c r="W135" s="26"/>
      <c r="X135" s="29"/>
      <c r="Y135" s="26"/>
      <c r="Z135" s="29"/>
      <c r="AA135" s="26"/>
      <c r="AB135" s="28"/>
      <c r="AC135" s="25"/>
      <c r="AD135" s="26"/>
    </row>
    <row r="136">
      <c r="A136" s="22" t="str">
        <f t="shared" si="1"/>
        <v>TC0125</v>
      </c>
      <c r="B136" s="23"/>
      <c r="C136" s="5"/>
      <c r="D136" s="24"/>
      <c r="E136" s="25"/>
      <c r="F136" s="26"/>
      <c r="G136" s="27"/>
      <c r="H136" s="5"/>
      <c r="I136" s="27"/>
      <c r="J136" s="5"/>
      <c r="K136" s="28"/>
      <c r="L136" s="26"/>
      <c r="M136" s="24"/>
      <c r="N136" s="25"/>
      <c r="O136" s="26"/>
      <c r="P136" s="28"/>
      <c r="Q136" s="26"/>
      <c r="R136" s="28"/>
      <c r="S136" s="25"/>
      <c r="T136" s="26"/>
      <c r="U136" s="28"/>
      <c r="V136" s="25"/>
      <c r="W136" s="26"/>
      <c r="X136" s="29"/>
      <c r="Y136" s="26"/>
      <c r="Z136" s="29"/>
      <c r="AA136" s="26"/>
      <c r="AB136" s="28"/>
      <c r="AC136" s="25"/>
      <c r="AD136" s="26"/>
    </row>
    <row r="137">
      <c r="A137" s="22" t="str">
        <f t="shared" si="1"/>
        <v>TC0126</v>
      </c>
      <c r="B137" s="23"/>
      <c r="C137" s="5"/>
      <c r="D137" s="24"/>
      <c r="E137" s="25"/>
      <c r="F137" s="26"/>
      <c r="G137" s="27"/>
      <c r="H137" s="5"/>
      <c r="I137" s="27"/>
      <c r="J137" s="5"/>
      <c r="K137" s="28"/>
      <c r="L137" s="26"/>
      <c r="M137" s="24"/>
      <c r="N137" s="25"/>
      <c r="O137" s="26"/>
      <c r="P137" s="28"/>
      <c r="Q137" s="26"/>
      <c r="R137" s="28"/>
      <c r="S137" s="25"/>
      <c r="T137" s="26"/>
      <c r="U137" s="28"/>
      <c r="V137" s="25"/>
      <c r="W137" s="26"/>
      <c r="X137" s="29"/>
      <c r="Y137" s="26"/>
      <c r="Z137" s="29"/>
      <c r="AA137" s="26"/>
      <c r="AB137" s="28"/>
      <c r="AC137" s="25"/>
      <c r="AD137" s="26"/>
    </row>
    <row r="138">
      <c r="A138" s="22" t="str">
        <f t="shared" si="1"/>
        <v>TC0127</v>
      </c>
      <c r="B138" s="23"/>
      <c r="C138" s="5"/>
      <c r="D138" s="24"/>
      <c r="E138" s="25"/>
      <c r="F138" s="26"/>
      <c r="G138" s="27"/>
      <c r="H138" s="5"/>
      <c r="I138" s="27"/>
      <c r="J138" s="5"/>
      <c r="K138" s="28"/>
      <c r="L138" s="26"/>
      <c r="M138" s="24"/>
      <c r="N138" s="25"/>
      <c r="O138" s="26"/>
      <c r="P138" s="28"/>
      <c r="Q138" s="26"/>
      <c r="R138" s="28"/>
      <c r="S138" s="25"/>
      <c r="T138" s="26"/>
      <c r="U138" s="28"/>
      <c r="V138" s="25"/>
      <c r="W138" s="26"/>
      <c r="X138" s="29"/>
      <c r="Y138" s="26"/>
      <c r="Z138" s="29"/>
      <c r="AA138" s="26"/>
      <c r="AB138" s="28"/>
      <c r="AC138" s="25"/>
      <c r="AD138" s="26"/>
    </row>
    <row r="139">
      <c r="A139" s="22" t="str">
        <f t="shared" si="1"/>
        <v>TC0128</v>
      </c>
      <c r="B139" s="23"/>
      <c r="C139" s="5"/>
      <c r="D139" s="24"/>
      <c r="E139" s="25"/>
      <c r="F139" s="26"/>
      <c r="G139" s="27"/>
      <c r="H139" s="5"/>
      <c r="I139" s="27"/>
      <c r="J139" s="5"/>
      <c r="K139" s="28"/>
      <c r="L139" s="26"/>
      <c r="M139" s="24"/>
      <c r="N139" s="25"/>
      <c r="O139" s="26"/>
      <c r="P139" s="28"/>
      <c r="Q139" s="26"/>
      <c r="R139" s="28"/>
      <c r="S139" s="25"/>
      <c r="T139" s="26"/>
      <c r="U139" s="28"/>
      <c r="V139" s="25"/>
      <c r="W139" s="26"/>
      <c r="X139" s="29"/>
      <c r="Y139" s="26"/>
      <c r="Z139" s="29"/>
      <c r="AA139" s="26"/>
      <c r="AB139" s="28"/>
      <c r="AC139" s="25"/>
      <c r="AD139" s="26"/>
    </row>
    <row r="140">
      <c r="A140" s="22" t="str">
        <f t="shared" si="1"/>
        <v>TC0129</v>
      </c>
      <c r="B140" s="23"/>
      <c r="C140" s="5"/>
      <c r="D140" s="24"/>
      <c r="E140" s="25"/>
      <c r="F140" s="26"/>
      <c r="G140" s="27"/>
      <c r="H140" s="5"/>
      <c r="I140" s="27"/>
      <c r="J140" s="5"/>
      <c r="K140" s="28"/>
      <c r="L140" s="26"/>
      <c r="M140" s="24"/>
      <c r="N140" s="25"/>
      <c r="O140" s="26"/>
      <c r="P140" s="28"/>
      <c r="Q140" s="26"/>
      <c r="R140" s="28"/>
      <c r="S140" s="25"/>
      <c r="T140" s="26"/>
      <c r="U140" s="28"/>
      <c r="V140" s="25"/>
      <c r="W140" s="26"/>
      <c r="X140" s="29"/>
      <c r="Y140" s="26"/>
      <c r="Z140" s="29"/>
      <c r="AA140" s="26"/>
      <c r="AB140" s="28"/>
      <c r="AC140" s="25"/>
      <c r="AD140" s="26"/>
    </row>
    <row r="141">
      <c r="A141" s="22" t="str">
        <f t="shared" si="1"/>
        <v>TC0130</v>
      </c>
      <c r="B141" s="23"/>
      <c r="C141" s="5"/>
      <c r="D141" s="24"/>
      <c r="E141" s="25"/>
      <c r="F141" s="26"/>
      <c r="G141" s="27"/>
      <c r="H141" s="5"/>
      <c r="I141" s="27"/>
      <c r="J141" s="5"/>
      <c r="K141" s="28"/>
      <c r="L141" s="26"/>
      <c r="M141" s="24"/>
      <c r="N141" s="25"/>
      <c r="O141" s="26"/>
      <c r="P141" s="28"/>
      <c r="Q141" s="26"/>
      <c r="R141" s="28"/>
      <c r="S141" s="25"/>
      <c r="T141" s="26"/>
      <c r="U141" s="28"/>
      <c r="V141" s="25"/>
      <c r="W141" s="26"/>
      <c r="X141" s="29"/>
      <c r="Y141" s="26"/>
      <c r="Z141" s="29"/>
      <c r="AA141" s="26"/>
      <c r="AB141" s="28"/>
      <c r="AC141" s="25"/>
      <c r="AD141" s="26"/>
    </row>
    <row r="142">
      <c r="A142" s="22" t="str">
        <f t="shared" si="1"/>
        <v>TC0131</v>
      </c>
      <c r="B142" s="23"/>
      <c r="C142" s="5"/>
      <c r="D142" s="24"/>
      <c r="E142" s="25"/>
      <c r="F142" s="26"/>
      <c r="G142" s="27"/>
      <c r="H142" s="5"/>
      <c r="I142" s="27"/>
      <c r="J142" s="5"/>
      <c r="K142" s="28"/>
      <c r="L142" s="26"/>
      <c r="M142" s="24"/>
      <c r="N142" s="25"/>
      <c r="O142" s="26"/>
      <c r="P142" s="28"/>
      <c r="Q142" s="26"/>
      <c r="R142" s="28"/>
      <c r="S142" s="25"/>
      <c r="T142" s="26"/>
      <c r="U142" s="28"/>
      <c r="V142" s="25"/>
      <c r="W142" s="26"/>
      <c r="X142" s="29"/>
      <c r="Y142" s="26"/>
      <c r="Z142" s="29"/>
      <c r="AA142" s="26"/>
      <c r="AB142" s="28"/>
      <c r="AC142" s="25"/>
      <c r="AD142" s="26"/>
    </row>
    <row r="143">
      <c r="A143" s="22" t="str">
        <f t="shared" si="1"/>
        <v>TC0132</v>
      </c>
      <c r="B143" s="23"/>
      <c r="C143" s="5"/>
      <c r="D143" s="24"/>
      <c r="E143" s="25"/>
      <c r="F143" s="26"/>
      <c r="G143" s="27"/>
      <c r="H143" s="5"/>
      <c r="I143" s="27"/>
      <c r="J143" s="5"/>
      <c r="K143" s="28"/>
      <c r="L143" s="26"/>
      <c r="M143" s="24"/>
      <c r="N143" s="25"/>
      <c r="O143" s="26"/>
      <c r="P143" s="28"/>
      <c r="Q143" s="26"/>
      <c r="R143" s="28"/>
      <c r="S143" s="25"/>
      <c r="T143" s="26"/>
      <c r="U143" s="28"/>
      <c r="V143" s="25"/>
      <c r="W143" s="26"/>
      <c r="X143" s="29"/>
      <c r="Y143" s="26"/>
      <c r="Z143" s="29"/>
      <c r="AA143" s="26"/>
      <c r="AB143" s="28"/>
      <c r="AC143" s="25"/>
      <c r="AD143" s="26"/>
    </row>
    <row r="144">
      <c r="A144" s="22" t="str">
        <f t="shared" si="1"/>
        <v>TC0133</v>
      </c>
      <c r="B144" s="23"/>
      <c r="C144" s="5"/>
      <c r="D144" s="24"/>
      <c r="E144" s="25"/>
      <c r="F144" s="26"/>
      <c r="G144" s="27"/>
      <c r="H144" s="5"/>
      <c r="I144" s="27"/>
      <c r="J144" s="5"/>
      <c r="K144" s="28"/>
      <c r="L144" s="26"/>
      <c r="M144" s="24"/>
      <c r="N144" s="25"/>
      <c r="O144" s="26"/>
      <c r="P144" s="28"/>
      <c r="Q144" s="26"/>
      <c r="R144" s="28"/>
      <c r="S144" s="25"/>
      <c r="T144" s="26"/>
      <c r="U144" s="28"/>
      <c r="V144" s="25"/>
      <c r="W144" s="26"/>
      <c r="X144" s="29"/>
      <c r="Y144" s="26"/>
      <c r="Z144" s="29"/>
      <c r="AA144" s="26"/>
      <c r="AB144" s="28"/>
      <c r="AC144" s="25"/>
      <c r="AD144" s="26"/>
    </row>
    <row r="145">
      <c r="A145" s="22" t="str">
        <f t="shared" si="1"/>
        <v>TC0134</v>
      </c>
      <c r="B145" s="23"/>
      <c r="C145" s="5"/>
      <c r="D145" s="24"/>
      <c r="E145" s="25"/>
      <c r="F145" s="26"/>
      <c r="G145" s="27"/>
      <c r="H145" s="5"/>
      <c r="I145" s="27"/>
      <c r="J145" s="5"/>
      <c r="K145" s="28"/>
      <c r="L145" s="26"/>
      <c r="M145" s="24"/>
      <c r="N145" s="25"/>
      <c r="O145" s="26"/>
      <c r="P145" s="28"/>
      <c r="Q145" s="26"/>
      <c r="R145" s="28"/>
      <c r="S145" s="25"/>
      <c r="T145" s="26"/>
      <c r="U145" s="28"/>
      <c r="V145" s="25"/>
      <c r="W145" s="26"/>
      <c r="X145" s="29"/>
      <c r="Y145" s="26"/>
      <c r="Z145" s="29"/>
      <c r="AA145" s="26"/>
      <c r="AB145" s="28"/>
      <c r="AC145" s="25"/>
      <c r="AD145" s="26"/>
    </row>
    <row r="146">
      <c r="A146" s="22" t="str">
        <f t="shared" si="1"/>
        <v>TC0135</v>
      </c>
      <c r="B146" s="23"/>
      <c r="C146" s="5"/>
      <c r="D146" s="24"/>
      <c r="E146" s="25"/>
      <c r="F146" s="26"/>
      <c r="G146" s="27"/>
      <c r="H146" s="5"/>
      <c r="I146" s="27"/>
      <c r="J146" s="5"/>
      <c r="K146" s="28"/>
      <c r="L146" s="26"/>
      <c r="M146" s="24"/>
      <c r="N146" s="25"/>
      <c r="O146" s="26"/>
      <c r="P146" s="28"/>
      <c r="Q146" s="26"/>
      <c r="R146" s="28"/>
      <c r="S146" s="25"/>
      <c r="T146" s="26"/>
      <c r="U146" s="28"/>
      <c r="V146" s="25"/>
      <c r="W146" s="26"/>
      <c r="X146" s="29"/>
      <c r="Y146" s="26"/>
      <c r="Z146" s="29"/>
      <c r="AA146" s="26"/>
      <c r="AB146" s="28"/>
      <c r="AC146" s="25"/>
      <c r="AD146" s="26"/>
    </row>
    <row r="147">
      <c r="A147" s="22" t="str">
        <f t="shared" si="1"/>
        <v>TC0136</v>
      </c>
      <c r="B147" s="23"/>
      <c r="C147" s="5"/>
      <c r="D147" s="24"/>
      <c r="E147" s="25"/>
      <c r="F147" s="26"/>
      <c r="G147" s="27"/>
      <c r="H147" s="5"/>
      <c r="I147" s="27"/>
      <c r="J147" s="5"/>
      <c r="K147" s="28"/>
      <c r="L147" s="26"/>
      <c r="M147" s="24"/>
      <c r="N147" s="25"/>
      <c r="O147" s="26"/>
      <c r="P147" s="28"/>
      <c r="Q147" s="26"/>
      <c r="R147" s="28"/>
      <c r="S147" s="25"/>
      <c r="T147" s="26"/>
      <c r="U147" s="28"/>
      <c r="V147" s="25"/>
      <c r="W147" s="26"/>
      <c r="X147" s="29"/>
      <c r="Y147" s="26"/>
      <c r="Z147" s="29"/>
      <c r="AA147" s="26"/>
      <c r="AB147" s="28"/>
      <c r="AC147" s="25"/>
      <c r="AD147" s="26"/>
    </row>
    <row r="148">
      <c r="A148" s="22" t="str">
        <f t="shared" si="1"/>
        <v>TC0137</v>
      </c>
      <c r="B148" s="23"/>
      <c r="C148" s="5"/>
      <c r="D148" s="24"/>
      <c r="E148" s="25"/>
      <c r="F148" s="26"/>
      <c r="G148" s="27"/>
      <c r="H148" s="5"/>
      <c r="I148" s="27"/>
      <c r="J148" s="5"/>
      <c r="K148" s="28"/>
      <c r="L148" s="26"/>
      <c r="M148" s="24"/>
      <c r="N148" s="25"/>
      <c r="O148" s="26"/>
      <c r="P148" s="28"/>
      <c r="Q148" s="26"/>
      <c r="R148" s="28"/>
      <c r="S148" s="25"/>
      <c r="T148" s="26"/>
      <c r="U148" s="28"/>
      <c r="V148" s="25"/>
      <c r="W148" s="26"/>
      <c r="X148" s="29"/>
      <c r="Y148" s="26"/>
      <c r="Z148" s="29"/>
      <c r="AA148" s="26"/>
      <c r="AB148" s="28"/>
      <c r="AC148" s="25"/>
      <c r="AD148" s="26"/>
    </row>
    <row r="149">
      <c r="A149" s="22" t="str">
        <f t="shared" si="1"/>
        <v>TC0138</v>
      </c>
      <c r="B149" s="23"/>
      <c r="C149" s="5"/>
      <c r="D149" s="24"/>
      <c r="E149" s="25"/>
      <c r="F149" s="26"/>
      <c r="G149" s="27"/>
      <c r="H149" s="5"/>
      <c r="I149" s="27"/>
      <c r="J149" s="5"/>
      <c r="K149" s="28"/>
      <c r="L149" s="26"/>
      <c r="M149" s="24"/>
      <c r="N149" s="25"/>
      <c r="O149" s="26"/>
      <c r="P149" s="28"/>
      <c r="Q149" s="26"/>
      <c r="R149" s="28"/>
      <c r="S149" s="25"/>
      <c r="T149" s="26"/>
      <c r="U149" s="28"/>
      <c r="V149" s="25"/>
      <c r="W149" s="26"/>
      <c r="X149" s="29"/>
      <c r="Y149" s="26"/>
      <c r="Z149" s="29"/>
      <c r="AA149" s="26"/>
      <c r="AB149" s="28"/>
      <c r="AC149" s="25"/>
      <c r="AD149" s="26"/>
    </row>
    <row r="150">
      <c r="A150" s="22" t="str">
        <f t="shared" si="1"/>
        <v>TC0139</v>
      </c>
      <c r="B150" s="23"/>
      <c r="C150" s="5"/>
      <c r="D150" s="24"/>
      <c r="E150" s="25"/>
      <c r="F150" s="26"/>
      <c r="G150" s="27"/>
      <c r="H150" s="5"/>
      <c r="I150" s="27"/>
      <c r="J150" s="5"/>
      <c r="K150" s="28"/>
      <c r="L150" s="26"/>
      <c r="M150" s="24"/>
      <c r="N150" s="25"/>
      <c r="O150" s="26"/>
      <c r="P150" s="28"/>
      <c r="Q150" s="26"/>
      <c r="R150" s="28"/>
      <c r="S150" s="25"/>
      <c r="T150" s="26"/>
      <c r="U150" s="28"/>
      <c r="V150" s="25"/>
      <c r="W150" s="26"/>
      <c r="X150" s="29"/>
      <c r="Y150" s="26"/>
      <c r="Z150" s="29"/>
      <c r="AA150" s="26"/>
      <c r="AB150" s="28"/>
      <c r="AC150" s="25"/>
      <c r="AD150" s="26"/>
    </row>
    <row r="151">
      <c r="A151" s="22" t="str">
        <f t="shared" si="1"/>
        <v>TC0140</v>
      </c>
      <c r="B151" s="23"/>
      <c r="C151" s="5"/>
      <c r="D151" s="24"/>
      <c r="E151" s="25"/>
      <c r="F151" s="26"/>
      <c r="G151" s="27"/>
      <c r="H151" s="5"/>
      <c r="I151" s="27"/>
      <c r="J151" s="5"/>
      <c r="K151" s="28"/>
      <c r="L151" s="26"/>
      <c r="M151" s="24"/>
      <c r="N151" s="25"/>
      <c r="O151" s="26"/>
      <c r="P151" s="28"/>
      <c r="Q151" s="26"/>
      <c r="R151" s="28"/>
      <c r="S151" s="25"/>
      <c r="T151" s="26"/>
      <c r="U151" s="28"/>
      <c r="V151" s="25"/>
      <c r="W151" s="26"/>
      <c r="X151" s="29"/>
      <c r="Y151" s="26"/>
      <c r="Z151" s="29"/>
      <c r="AA151" s="26"/>
      <c r="AB151" s="28"/>
      <c r="AC151" s="25"/>
      <c r="AD151" s="26"/>
    </row>
    <row r="152">
      <c r="A152" s="22" t="str">
        <f t="shared" si="1"/>
        <v>TC0141</v>
      </c>
      <c r="B152" s="23"/>
      <c r="C152" s="5"/>
      <c r="D152" s="24"/>
      <c r="E152" s="25"/>
      <c r="F152" s="26"/>
      <c r="G152" s="27"/>
      <c r="H152" s="5"/>
      <c r="I152" s="27"/>
      <c r="J152" s="5"/>
      <c r="K152" s="28"/>
      <c r="L152" s="26"/>
      <c r="M152" s="24"/>
      <c r="N152" s="25"/>
      <c r="O152" s="26"/>
      <c r="P152" s="28"/>
      <c r="Q152" s="26"/>
      <c r="R152" s="28"/>
      <c r="S152" s="25"/>
      <c r="T152" s="26"/>
      <c r="U152" s="28"/>
      <c r="V152" s="25"/>
      <c r="W152" s="26"/>
      <c r="X152" s="29"/>
      <c r="Y152" s="26"/>
      <c r="Z152" s="29"/>
      <c r="AA152" s="26"/>
      <c r="AB152" s="28"/>
      <c r="AC152" s="25"/>
      <c r="AD152" s="26"/>
    </row>
    <row r="153">
      <c r="A153" s="22" t="str">
        <f t="shared" si="1"/>
        <v>TC0142</v>
      </c>
      <c r="B153" s="23"/>
      <c r="C153" s="5"/>
      <c r="D153" s="24"/>
      <c r="E153" s="25"/>
      <c r="F153" s="26"/>
      <c r="G153" s="27"/>
      <c r="H153" s="5"/>
      <c r="I153" s="27"/>
      <c r="J153" s="5"/>
      <c r="K153" s="28"/>
      <c r="L153" s="26"/>
      <c r="M153" s="24"/>
      <c r="N153" s="25"/>
      <c r="O153" s="26"/>
      <c r="P153" s="28"/>
      <c r="Q153" s="26"/>
      <c r="R153" s="28"/>
      <c r="S153" s="25"/>
      <c r="T153" s="26"/>
      <c r="U153" s="28"/>
      <c r="V153" s="25"/>
      <c r="W153" s="26"/>
      <c r="X153" s="29"/>
      <c r="Y153" s="26"/>
      <c r="Z153" s="29"/>
      <c r="AA153" s="26"/>
      <c r="AB153" s="28"/>
      <c r="AC153" s="25"/>
      <c r="AD153" s="26"/>
    </row>
    <row r="154">
      <c r="A154" s="22" t="str">
        <f t="shared" si="1"/>
        <v>TC0143</v>
      </c>
      <c r="B154" s="23"/>
      <c r="C154" s="5"/>
      <c r="D154" s="24"/>
      <c r="E154" s="25"/>
      <c r="F154" s="26"/>
      <c r="G154" s="27"/>
      <c r="H154" s="5"/>
      <c r="I154" s="27"/>
      <c r="J154" s="5"/>
      <c r="K154" s="28"/>
      <c r="L154" s="26"/>
      <c r="M154" s="24"/>
      <c r="N154" s="25"/>
      <c r="O154" s="26"/>
      <c r="P154" s="28"/>
      <c r="Q154" s="26"/>
      <c r="R154" s="28"/>
      <c r="S154" s="25"/>
      <c r="T154" s="26"/>
      <c r="U154" s="28"/>
      <c r="V154" s="25"/>
      <c r="W154" s="26"/>
      <c r="X154" s="29"/>
      <c r="Y154" s="26"/>
      <c r="Z154" s="29"/>
      <c r="AA154" s="26"/>
      <c r="AB154" s="28"/>
      <c r="AC154" s="25"/>
      <c r="AD154" s="26"/>
    </row>
    <row r="155">
      <c r="A155" s="22" t="str">
        <f t="shared" si="1"/>
        <v>TC0144</v>
      </c>
      <c r="B155" s="23"/>
      <c r="C155" s="5"/>
      <c r="D155" s="24"/>
      <c r="E155" s="25"/>
      <c r="F155" s="26"/>
      <c r="G155" s="27"/>
      <c r="H155" s="5"/>
      <c r="I155" s="27"/>
      <c r="J155" s="5"/>
      <c r="K155" s="28"/>
      <c r="L155" s="26"/>
      <c r="M155" s="24"/>
      <c r="N155" s="25"/>
      <c r="O155" s="26"/>
      <c r="P155" s="28"/>
      <c r="Q155" s="26"/>
      <c r="R155" s="28"/>
      <c r="S155" s="25"/>
      <c r="T155" s="26"/>
      <c r="U155" s="28"/>
      <c r="V155" s="25"/>
      <c r="W155" s="26"/>
      <c r="X155" s="29"/>
      <c r="Y155" s="26"/>
      <c r="Z155" s="29"/>
      <c r="AA155" s="26"/>
      <c r="AB155" s="28"/>
      <c r="AC155" s="25"/>
      <c r="AD155" s="26"/>
    </row>
    <row r="156">
      <c r="A156" s="22" t="str">
        <f t="shared" si="1"/>
        <v>TC0145</v>
      </c>
      <c r="B156" s="23"/>
      <c r="C156" s="5"/>
      <c r="D156" s="24"/>
      <c r="E156" s="25"/>
      <c r="F156" s="26"/>
      <c r="G156" s="27"/>
      <c r="H156" s="5"/>
      <c r="I156" s="27"/>
      <c r="J156" s="5"/>
      <c r="K156" s="28"/>
      <c r="L156" s="26"/>
      <c r="M156" s="24"/>
      <c r="N156" s="25"/>
      <c r="O156" s="26"/>
      <c r="P156" s="28"/>
      <c r="Q156" s="26"/>
      <c r="R156" s="28"/>
      <c r="S156" s="25"/>
      <c r="T156" s="26"/>
      <c r="U156" s="28"/>
      <c r="V156" s="25"/>
      <c r="W156" s="26"/>
      <c r="X156" s="29"/>
      <c r="Y156" s="26"/>
      <c r="Z156" s="29"/>
      <c r="AA156" s="26"/>
      <c r="AB156" s="28"/>
      <c r="AC156" s="25"/>
      <c r="AD156" s="26"/>
    </row>
    <row r="157">
      <c r="A157" s="22" t="str">
        <f t="shared" si="1"/>
        <v>TC0146</v>
      </c>
      <c r="B157" s="23"/>
      <c r="C157" s="5"/>
      <c r="D157" s="24"/>
      <c r="E157" s="25"/>
      <c r="F157" s="26"/>
      <c r="G157" s="27"/>
      <c r="H157" s="5"/>
      <c r="I157" s="27"/>
      <c r="J157" s="5"/>
      <c r="K157" s="28"/>
      <c r="L157" s="26"/>
      <c r="M157" s="24"/>
      <c r="N157" s="25"/>
      <c r="O157" s="26"/>
      <c r="P157" s="28"/>
      <c r="Q157" s="26"/>
      <c r="R157" s="28"/>
      <c r="S157" s="25"/>
      <c r="T157" s="26"/>
      <c r="U157" s="28"/>
      <c r="V157" s="25"/>
      <c r="W157" s="26"/>
      <c r="X157" s="29"/>
      <c r="Y157" s="26"/>
      <c r="Z157" s="29"/>
      <c r="AA157" s="26"/>
      <c r="AB157" s="28"/>
      <c r="AC157" s="25"/>
      <c r="AD157" s="26"/>
    </row>
    <row r="158">
      <c r="A158" s="22" t="str">
        <f t="shared" si="1"/>
        <v>TC0147</v>
      </c>
      <c r="B158" s="23"/>
      <c r="C158" s="5"/>
      <c r="D158" s="24"/>
      <c r="E158" s="25"/>
      <c r="F158" s="26"/>
      <c r="G158" s="27"/>
      <c r="H158" s="5"/>
      <c r="I158" s="27"/>
      <c r="J158" s="5"/>
      <c r="K158" s="28"/>
      <c r="L158" s="26"/>
      <c r="M158" s="24"/>
      <c r="N158" s="25"/>
      <c r="O158" s="26"/>
      <c r="P158" s="28"/>
      <c r="Q158" s="26"/>
      <c r="R158" s="28"/>
      <c r="S158" s="25"/>
      <c r="T158" s="26"/>
      <c r="U158" s="28"/>
      <c r="V158" s="25"/>
      <c r="W158" s="26"/>
      <c r="X158" s="29"/>
      <c r="Y158" s="26"/>
      <c r="Z158" s="29"/>
      <c r="AA158" s="26"/>
      <c r="AB158" s="28"/>
      <c r="AC158" s="25"/>
      <c r="AD158" s="26"/>
    </row>
    <row r="159">
      <c r="A159" s="22" t="str">
        <f t="shared" si="1"/>
        <v>TC0148</v>
      </c>
      <c r="B159" s="23"/>
      <c r="C159" s="5"/>
      <c r="D159" s="24"/>
      <c r="E159" s="25"/>
      <c r="F159" s="26"/>
      <c r="G159" s="27"/>
      <c r="H159" s="5"/>
      <c r="I159" s="27"/>
      <c r="J159" s="5"/>
      <c r="K159" s="28"/>
      <c r="L159" s="26"/>
      <c r="M159" s="24"/>
      <c r="N159" s="25"/>
      <c r="O159" s="26"/>
      <c r="P159" s="28"/>
      <c r="Q159" s="26"/>
      <c r="R159" s="28"/>
      <c r="S159" s="25"/>
      <c r="T159" s="26"/>
      <c r="U159" s="28"/>
      <c r="V159" s="25"/>
      <c r="W159" s="26"/>
      <c r="X159" s="29"/>
      <c r="Y159" s="26"/>
      <c r="Z159" s="29"/>
      <c r="AA159" s="26"/>
      <c r="AB159" s="28"/>
      <c r="AC159" s="25"/>
      <c r="AD159" s="26"/>
    </row>
    <row r="160">
      <c r="A160" s="22" t="str">
        <f t="shared" si="1"/>
        <v>TC0149</v>
      </c>
      <c r="B160" s="23"/>
      <c r="C160" s="5"/>
      <c r="D160" s="24"/>
      <c r="E160" s="25"/>
      <c r="F160" s="26"/>
      <c r="G160" s="27"/>
      <c r="H160" s="5"/>
      <c r="I160" s="27"/>
      <c r="J160" s="5"/>
      <c r="K160" s="28"/>
      <c r="L160" s="26"/>
      <c r="M160" s="24"/>
      <c r="N160" s="25"/>
      <c r="O160" s="26"/>
      <c r="P160" s="28"/>
      <c r="Q160" s="26"/>
      <c r="R160" s="28"/>
      <c r="S160" s="25"/>
      <c r="T160" s="26"/>
      <c r="U160" s="28"/>
      <c r="V160" s="25"/>
      <c r="W160" s="26"/>
      <c r="X160" s="29"/>
      <c r="Y160" s="26"/>
      <c r="Z160" s="29"/>
      <c r="AA160" s="26"/>
      <c r="AB160" s="28"/>
      <c r="AC160" s="25"/>
      <c r="AD160" s="26"/>
    </row>
    <row r="161">
      <c r="A161" s="22" t="str">
        <f t="shared" si="1"/>
        <v>TC0150</v>
      </c>
      <c r="B161" s="23"/>
      <c r="C161" s="5"/>
      <c r="D161" s="24"/>
      <c r="E161" s="25"/>
      <c r="F161" s="26"/>
      <c r="G161" s="27"/>
      <c r="H161" s="5"/>
      <c r="I161" s="27"/>
      <c r="J161" s="5"/>
      <c r="K161" s="28"/>
      <c r="L161" s="26"/>
      <c r="M161" s="24"/>
      <c r="N161" s="25"/>
      <c r="O161" s="26"/>
      <c r="P161" s="28"/>
      <c r="Q161" s="26"/>
      <c r="R161" s="28"/>
      <c r="S161" s="25"/>
      <c r="T161" s="26"/>
      <c r="U161" s="28"/>
      <c r="V161" s="25"/>
      <c r="W161" s="26"/>
      <c r="X161" s="29"/>
      <c r="Y161" s="26"/>
      <c r="Z161" s="29"/>
      <c r="AA161" s="26"/>
      <c r="AB161" s="28"/>
      <c r="AC161" s="25"/>
      <c r="AD161" s="26"/>
    </row>
    <row r="162">
      <c r="A162" s="22" t="str">
        <f t="shared" si="1"/>
        <v>TC0151</v>
      </c>
      <c r="B162" s="23"/>
      <c r="C162" s="5"/>
      <c r="D162" s="24"/>
      <c r="E162" s="25"/>
      <c r="F162" s="26"/>
      <c r="G162" s="27"/>
      <c r="H162" s="5"/>
      <c r="I162" s="27"/>
      <c r="J162" s="5"/>
      <c r="K162" s="28"/>
      <c r="L162" s="26"/>
      <c r="M162" s="24"/>
      <c r="N162" s="25"/>
      <c r="O162" s="26"/>
      <c r="P162" s="28"/>
      <c r="Q162" s="26"/>
      <c r="R162" s="28"/>
      <c r="S162" s="25"/>
      <c r="T162" s="26"/>
      <c r="U162" s="28"/>
      <c r="V162" s="25"/>
      <c r="W162" s="26"/>
      <c r="X162" s="29"/>
      <c r="Y162" s="26"/>
      <c r="Z162" s="29"/>
      <c r="AA162" s="26"/>
      <c r="AB162" s="28"/>
      <c r="AC162" s="25"/>
      <c r="AD162" s="26"/>
    </row>
    <row r="163">
      <c r="A163" s="22" t="str">
        <f t="shared" si="1"/>
        <v>TC0152</v>
      </c>
      <c r="B163" s="23"/>
      <c r="C163" s="5"/>
      <c r="D163" s="24"/>
      <c r="E163" s="25"/>
      <c r="F163" s="26"/>
      <c r="G163" s="27"/>
      <c r="H163" s="5"/>
      <c r="I163" s="27"/>
      <c r="J163" s="5"/>
      <c r="K163" s="28"/>
      <c r="L163" s="26"/>
      <c r="M163" s="24"/>
      <c r="N163" s="25"/>
      <c r="O163" s="26"/>
      <c r="P163" s="28"/>
      <c r="Q163" s="26"/>
      <c r="R163" s="28"/>
      <c r="S163" s="25"/>
      <c r="T163" s="26"/>
      <c r="U163" s="28"/>
      <c r="V163" s="25"/>
      <c r="W163" s="26"/>
      <c r="X163" s="29"/>
      <c r="Y163" s="26"/>
      <c r="Z163" s="29"/>
      <c r="AA163" s="26"/>
      <c r="AB163" s="28"/>
      <c r="AC163" s="25"/>
      <c r="AD163" s="26"/>
    </row>
    <row r="164">
      <c r="A164" s="22" t="str">
        <f t="shared" si="1"/>
        <v>TC0153</v>
      </c>
      <c r="B164" s="23"/>
      <c r="C164" s="5"/>
      <c r="D164" s="24"/>
      <c r="E164" s="25"/>
      <c r="F164" s="26"/>
      <c r="G164" s="27"/>
      <c r="H164" s="5"/>
      <c r="I164" s="27"/>
      <c r="J164" s="5"/>
      <c r="K164" s="28"/>
      <c r="L164" s="26"/>
      <c r="M164" s="24"/>
      <c r="N164" s="25"/>
      <c r="O164" s="26"/>
      <c r="P164" s="28"/>
      <c r="Q164" s="26"/>
      <c r="R164" s="28"/>
      <c r="S164" s="25"/>
      <c r="T164" s="26"/>
      <c r="U164" s="28"/>
      <c r="V164" s="25"/>
      <c r="W164" s="26"/>
      <c r="X164" s="29"/>
      <c r="Y164" s="26"/>
      <c r="Z164" s="29"/>
      <c r="AA164" s="26"/>
      <c r="AB164" s="28"/>
      <c r="AC164" s="25"/>
      <c r="AD164" s="26"/>
    </row>
    <row r="165">
      <c r="A165" s="22" t="str">
        <f t="shared" si="1"/>
        <v>TC0154</v>
      </c>
      <c r="B165" s="23"/>
      <c r="C165" s="5"/>
      <c r="D165" s="24"/>
      <c r="E165" s="25"/>
      <c r="F165" s="26"/>
      <c r="G165" s="27"/>
      <c r="H165" s="5"/>
      <c r="I165" s="27"/>
      <c r="J165" s="5"/>
      <c r="K165" s="28"/>
      <c r="L165" s="26"/>
      <c r="M165" s="24"/>
      <c r="N165" s="25"/>
      <c r="O165" s="26"/>
      <c r="P165" s="28"/>
      <c r="Q165" s="26"/>
      <c r="R165" s="28"/>
      <c r="S165" s="25"/>
      <c r="T165" s="26"/>
      <c r="U165" s="28"/>
      <c r="V165" s="25"/>
      <c r="W165" s="26"/>
      <c r="X165" s="29"/>
      <c r="Y165" s="26"/>
      <c r="Z165" s="29"/>
      <c r="AA165" s="26"/>
      <c r="AB165" s="28"/>
      <c r="AC165" s="25"/>
      <c r="AD165" s="26"/>
    </row>
    <row r="166">
      <c r="A166" s="22" t="str">
        <f t="shared" si="1"/>
        <v>TC0155</v>
      </c>
      <c r="B166" s="23"/>
      <c r="C166" s="5"/>
      <c r="D166" s="24"/>
      <c r="E166" s="25"/>
      <c r="F166" s="26"/>
      <c r="G166" s="27"/>
      <c r="H166" s="5"/>
      <c r="I166" s="27"/>
      <c r="J166" s="5"/>
      <c r="K166" s="28"/>
      <c r="L166" s="26"/>
      <c r="M166" s="24"/>
      <c r="N166" s="25"/>
      <c r="O166" s="26"/>
      <c r="P166" s="28"/>
      <c r="Q166" s="26"/>
      <c r="R166" s="28"/>
      <c r="S166" s="25"/>
      <c r="T166" s="26"/>
      <c r="U166" s="28"/>
      <c r="V166" s="25"/>
      <c r="W166" s="26"/>
      <c r="X166" s="29"/>
      <c r="Y166" s="26"/>
      <c r="Z166" s="29"/>
      <c r="AA166" s="26"/>
      <c r="AB166" s="28"/>
      <c r="AC166" s="25"/>
      <c r="AD166" s="26"/>
    </row>
    <row r="167">
      <c r="A167" s="22" t="str">
        <f t="shared" si="1"/>
        <v>TC0156</v>
      </c>
      <c r="B167" s="23"/>
      <c r="C167" s="5"/>
      <c r="D167" s="24"/>
      <c r="E167" s="25"/>
      <c r="F167" s="26"/>
      <c r="G167" s="27"/>
      <c r="H167" s="5"/>
      <c r="I167" s="27"/>
      <c r="J167" s="5"/>
      <c r="K167" s="28"/>
      <c r="L167" s="26"/>
      <c r="M167" s="24"/>
      <c r="N167" s="25"/>
      <c r="O167" s="26"/>
      <c r="P167" s="28"/>
      <c r="Q167" s="26"/>
      <c r="R167" s="28"/>
      <c r="S167" s="25"/>
      <c r="T167" s="26"/>
      <c r="U167" s="28"/>
      <c r="V167" s="25"/>
      <c r="W167" s="26"/>
      <c r="X167" s="29"/>
      <c r="Y167" s="26"/>
      <c r="Z167" s="29"/>
      <c r="AA167" s="26"/>
      <c r="AB167" s="28"/>
      <c r="AC167" s="25"/>
      <c r="AD167" s="26"/>
    </row>
    <row r="168">
      <c r="A168" s="22" t="str">
        <f t="shared" si="1"/>
        <v>TC0157</v>
      </c>
      <c r="B168" s="23"/>
      <c r="C168" s="5"/>
      <c r="D168" s="24"/>
      <c r="E168" s="25"/>
      <c r="F168" s="26"/>
      <c r="G168" s="27"/>
      <c r="H168" s="5"/>
      <c r="I168" s="27"/>
      <c r="J168" s="5"/>
      <c r="K168" s="28"/>
      <c r="L168" s="26"/>
      <c r="M168" s="24"/>
      <c r="N168" s="25"/>
      <c r="O168" s="26"/>
      <c r="P168" s="28"/>
      <c r="Q168" s="26"/>
      <c r="R168" s="28"/>
      <c r="S168" s="25"/>
      <c r="T168" s="26"/>
      <c r="U168" s="28"/>
      <c r="V168" s="25"/>
      <c r="W168" s="26"/>
      <c r="X168" s="29"/>
      <c r="Y168" s="26"/>
      <c r="Z168" s="29"/>
      <c r="AA168" s="26"/>
      <c r="AB168" s="28"/>
      <c r="AC168" s="25"/>
      <c r="AD168" s="26"/>
    </row>
    <row r="169">
      <c r="A169" s="22" t="str">
        <f t="shared" si="1"/>
        <v>TC0158</v>
      </c>
      <c r="B169" s="23"/>
      <c r="C169" s="5"/>
      <c r="D169" s="24"/>
      <c r="E169" s="25"/>
      <c r="F169" s="26"/>
      <c r="G169" s="27"/>
      <c r="H169" s="5"/>
      <c r="I169" s="27"/>
      <c r="J169" s="5"/>
      <c r="K169" s="28"/>
      <c r="L169" s="26"/>
      <c r="M169" s="24"/>
      <c r="N169" s="25"/>
      <c r="O169" s="26"/>
      <c r="P169" s="28"/>
      <c r="Q169" s="26"/>
      <c r="R169" s="28"/>
      <c r="S169" s="25"/>
      <c r="T169" s="26"/>
      <c r="U169" s="28"/>
      <c r="V169" s="25"/>
      <c r="W169" s="26"/>
      <c r="X169" s="29"/>
      <c r="Y169" s="26"/>
      <c r="Z169" s="29"/>
      <c r="AA169" s="26"/>
      <c r="AB169" s="28"/>
      <c r="AC169" s="25"/>
      <c r="AD169" s="26"/>
    </row>
    <row r="170">
      <c r="A170" s="22" t="str">
        <f t="shared" si="1"/>
        <v>TC0159</v>
      </c>
      <c r="B170" s="23"/>
      <c r="C170" s="5"/>
      <c r="D170" s="24"/>
      <c r="E170" s="25"/>
      <c r="F170" s="26"/>
      <c r="G170" s="27"/>
      <c r="H170" s="5"/>
      <c r="I170" s="27"/>
      <c r="J170" s="5"/>
      <c r="K170" s="28"/>
      <c r="L170" s="26"/>
      <c r="M170" s="24"/>
      <c r="N170" s="25"/>
      <c r="O170" s="26"/>
      <c r="P170" s="28"/>
      <c r="Q170" s="26"/>
      <c r="R170" s="28"/>
      <c r="S170" s="25"/>
      <c r="T170" s="26"/>
      <c r="U170" s="28"/>
      <c r="V170" s="25"/>
      <c r="W170" s="26"/>
      <c r="X170" s="29"/>
      <c r="Y170" s="26"/>
      <c r="Z170" s="29"/>
      <c r="AA170" s="26"/>
      <c r="AB170" s="28"/>
      <c r="AC170" s="25"/>
      <c r="AD170" s="26"/>
    </row>
    <row r="171">
      <c r="A171" s="22" t="str">
        <f t="shared" si="1"/>
        <v>TC0160</v>
      </c>
      <c r="B171" s="23"/>
      <c r="C171" s="5"/>
      <c r="D171" s="24"/>
      <c r="E171" s="25"/>
      <c r="F171" s="26"/>
      <c r="G171" s="27"/>
      <c r="H171" s="5"/>
      <c r="I171" s="27"/>
      <c r="J171" s="5"/>
      <c r="K171" s="28"/>
      <c r="L171" s="26"/>
      <c r="M171" s="24"/>
      <c r="N171" s="25"/>
      <c r="O171" s="26"/>
      <c r="P171" s="28"/>
      <c r="Q171" s="26"/>
      <c r="R171" s="28"/>
      <c r="S171" s="25"/>
      <c r="T171" s="26"/>
      <c r="U171" s="28"/>
      <c r="V171" s="25"/>
      <c r="W171" s="26"/>
      <c r="X171" s="29"/>
      <c r="Y171" s="26"/>
      <c r="Z171" s="29"/>
      <c r="AA171" s="26"/>
      <c r="AB171" s="28"/>
      <c r="AC171" s="25"/>
      <c r="AD171" s="26"/>
    </row>
    <row r="172">
      <c r="A172" s="22" t="str">
        <f t="shared" si="1"/>
        <v>TC0161</v>
      </c>
      <c r="B172" s="23"/>
      <c r="C172" s="5"/>
      <c r="D172" s="24"/>
      <c r="E172" s="25"/>
      <c r="F172" s="26"/>
      <c r="G172" s="27"/>
      <c r="H172" s="5"/>
      <c r="I172" s="27"/>
      <c r="J172" s="5"/>
      <c r="K172" s="28"/>
      <c r="L172" s="26"/>
      <c r="M172" s="24"/>
      <c r="N172" s="25"/>
      <c r="O172" s="26"/>
      <c r="P172" s="28"/>
      <c r="Q172" s="26"/>
      <c r="R172" s="28"/>
      <c r="S172" s="25"/>
      <c r="T172" s="26"/>
      <c r="U172" s="28"/>
      <c r="V172" s="25"/>
      <c r="W172" s="26"/>
      <c r="X172" s="29"/>
      <c r="Y172" s="26"/>
      <c r="Z172" s="29"/>
      <c r="AA172" s="26"/>
      <c r="AB172" s="28"/>
      <c r="AC172" s="25"/>
      <c r="AD172" s="26"/>
    </row>
    <row r="173">
      <c r="A173" s="22" t="str">
        <f t="shared" si="1"/>
        <v>TC0162</v>
      </c>
      <c r="B173" s="23"/>
      <c r="C173" s="5"/>
      <c r="D173" s="24"/>
      <c r="E173" s="25"/>
      <c r="F173" s="26"/>
      <c r="G173" s="27"/>
      <c r="H173" s="5"/>
      <c r="I173" s="27"/>
      <c r="J173" s="5"/>
      <c r="K173" s="28"/>
      <c r="L173" s="26"/>
      <c r="M173" s="24"/>
      <c r="N173" s="25"/>
      <c r="O173" s="26"/>
      <c r="P173" s="28"/>
      <c r="Q173" s="26"/>
      <c r="R173" s="28"/>
      <c r="S173" s="25"/>
      <c r="T173" s="26"/>
      <c r="U173" s="28"/>
      <c r="V173" s="25"/>
      <c r="W173" s="26"/>
      <c r="X173" s="29"/>
      <c r="Y173" s="26"/>
      <c r="Z173" s="29"/>
      <c r="AA173" s="26"/>
      <c r="AB173" s="28"/>
      <c r="AC173" s="25"/>
      <c r="AD173" s="26"/>
    </row>
    <row r="174">
      <c r="A174" s="22" t="str">
        <f t="shared" si="1"/>
        <v>TC0163</v>
      </c>
      <c r="B174" s="23"/>
      <c r="C174" s="5"/>
      <c r="D174" s="24"/>
      <c r="E174" s="25"/>
      <c r="F174" s="26"/>
      <c r="G174" s="27"/>
      <c r="H174" s="5"/>
      <c r="I174" s="27"/>
      <c r="J174" s="5"/>
      <c r="K174" s="28"/>
      <c r="L174" s="26"/>
      <c r="M174" s="24"/>
      <c r="N174" s="25"/>
      <c r="O174" s="26"/>
      <c r="P174" s="28"/>
      <c r="Q174" s="26"/>
      <c r="R174" s="28"/>
      <c r="S174" s="25"/>
      <c r="T174" s="26"/>
      <c r="U174" s="28"/>
      <c r="V174" s="25"/>
      <c r="W174" s="26"/>
      <c r="X174" s="29"/>
      <c r="Y174" s="26"/>
      <c r="Z174" s="29"/>
      <c r="AA174" s="26"/>
      <c r="AB174" s="28"/>
      <c r="AC174" s="25"/>
      <c r="AD174" s="26"/>
    </row>
    <row r="175">
      <c r="A175" s="22" t="str">
        <f t="shared" si="1"/>
        <v>TC0164</v>
      </c>
      <c r="B175" s="23"/>
      <c r="C175" s="5"/>
      <c r="D175" s="24"/>
      <c r="E175" s="25"/>
      <c r="F175" s="26"/>
      <c r="G175" s="27"/>
      <c r="H175" s="5"/>
      <c r="I175" s="27"/>
      <c r="J175" s="5"/>
      <c r="K175" s="28"/>
      <c r="L175" s="26"/>
      <c r="M175" s="24"/>
      <c r="N175" s="25"/>
      <c r="O175" s="26"/>
      <c r="P175" s="28"/>
      <c r="Q175" s="26"/>
      <c r="R175" s="28"/>
      <c r="S175" s="25"/>
      <c r="T175" s="26"/>
      <c r="U175" s="28"/>
      <c r="V175" s="25"/>
      <c r="W175" s="26"/>
      <c r="X175" s="29"/>
      <c r="Y175" s="26"/>
      <c r="Z175" s="29"/>
      <c r="AA175" s="26"/>
      <c r="AB175" s="28"/>
      <c r="AC175" s="25"/>
      <c r="AD175" s="26"/>
    </row>
    <row r="176">
      <c r="A176" s="22" t="str">
        <f t="shared" si="1"/>
        <v>TC0165</v>
      </c>
      <c r="B176" s="23"/>
      <c r="C176" s="5"/>
      <c r="D176" s="24"/>
      <c r="E176" s="25"/>
      <c r="F176" s="26"/>
      <c r="G176" s="27"/>
      <c r="H176" s="5"/>
      <c r="I176" s="27"/>
      <c r="J176" s="5"/>
      <c r="K176" s="28"/>
      <c r="L176" s="26"/>
      <c r="M176" s="24"/>
      <c r="N176" s="25"/>
      <c r="O176" s="26"/>
      <c r="P176" s="28"/>
      <c r="Q176" s="26"/>
      <c r="R176" s="28"/>
      <c r="S176" s="25"/>
      <c r="T176" s="26"/>
      <c r="U176" s="28"/>
      <c r="V176" s="25"/>
      <c r="W176" s="26"/>
      <c r="X176" s="29"/>
      <c r="Y176" s="26"/>
      <c r="Z176" s="29"/>
      <c r="AA176" s="26"/>
      <c r="AB176" s="28"/>
      <c r="AC176" s="25"/>
      <c r="AD176" s="26"/>
    </row>
    <row r="177">
      <c r="A177" s="22" t="str">
        <f t="shared" si="1"/>
        <v>TC0166</v>
      </c>
      <c r="B177" s="23"/>
      <c r="C177" s="5"/>
      <c r="D177" s="24"/>
      <c r="E177" s="25"/>
      <c r="F177" s="26"/>
      <c r="G177" s="27"/>
      <c r="H177" s="5"/>
      <c r="I177" s="27"/>
      <c r="J177" s="5"/>
      <c r="K177" s="28"/>
      <c r="L177" s="26"/>
      <c r="M177" s="24"/>
      <c r="N177" s="25"/>
      <c r="O177" s="26"/>
      <c r="P177" s="28"/>
      <c r="Q177" s="26"/>
      <c r="R177" s="28"/>
      <c r="S177" s="25"/>
      <c r="T177" s="26"/>
      <c r="U177" s="28"/>
      <c r="V177" s="25"/>
      <c r="W177" s="26"/>
      <c r="X177" s="29"/>
      <c r="Y177" s="26"/>
      <c r="Z177" s="29"/>
      <c r="AA177" s="26"/>
      <c r="AB177" s="28"/>
      <c r="AC177" s="25"/>
      <c r="AD177" s="26"/>
    </row>
    <row r="178">
      <c r="A178" s="22" t="str">
        <f t="shared" si="1"/>
        <v>TC0167</v>
      </c>
      <c r="B178" s="23"/>
      <c r="C178" s="5"/>
      <c r="D178" s="24"/>
      <c r="E178" s="25"/>
      <c r="F178" s="26"/>
      <c r="G178" s="27"/>
      <c r="H178" s="5"/>
      <c r="I178" s="27"/>
      <c r="J178" s="5"/>
      <c r="K178" s="28"/>
      <c r="L178" s="26"/>
      <c r="M178" s="24"/>
      <c r="N178" s="25"/>
      <c r="O178" s="26"/>
      <c r="P178" s="28"/>
      <c r="Q178" s="26"/>
      <c r="R178" s="28"/>
      <c r="S178" s="25"/>
      <c r="T178" s="26"/>
      <c r="U178" s="28"/>
      <c r="V178" s="25"/>
      <c r="W178" s="26"/>
      <c r="X178" s="29"/>
      <c r="Y178" s="26"/>
      <c r="Z178" s="29"/>
      <c r="AA178" s="26"/>
      <c r="AB178" s="28"/>
      <c r="AC178" s="25"/>
      <c r="AD178" s="26"/>
    </row>
    <row r="179">
      <c r="A179" s="22" t="str">
        <f t="shared" si="1"/>
        <v>TC0168</v>
      </c>
      <c r="B179" s="23"/>
      <c r="C179" s="5"/>
      <c r="D179" s="24"/>
      <c r="E179" s="25"/>
      <c r="F179" s="26"/>
      <c r="G179" s="27"/>
      <c r="H179" s="5"/>
      <c r="I179" s="27"/>
      <c r="J179" s="5"/>
      <c r="K179" s="28"/>
      <c r="L179" s="26"/>
      <c r="M179" s="24"/>
      <c r="N179" s="25"/>
      <c r="O179" s="26"/>
      <c r="P179" s="28"/>
      <c r="Q179" s="26"/>
      <c r="R179" s="28"/>
      <c r="S179" s="25"/>
      <c r="T179" s="26"/>
      <c r="U179" s="28"/>
      <c r="V179" s="25"/>
      <c r="W179" s="26"/>
      <c r="X179" s="29"/>
      <c r="Y179" s="26"/>
      <c r="Z179" s="29"/>
      <c r="AA179" s="26"/>
      <c r="AB179" s="28"/>
      <c r="AC179" s="25"/>
      <c r="AD179" s="26"/>
    </row>
    <row r="180">
      <c r="A180" s="22" t="str">
        <f t="shared" si="1"/>
        <v>TC0169</v>
      </c>
      <c r="B180" s="23"/>
      <c r="C180" s="5"/>
      <c r="D180" s="24"/>
      <c r="E180" s="25"/>
      <c r="F180" s="26"/>
      <c r="G180" s="27"/>
      <c r="H180" s="5"/>
      <c r="I180" s="27"/>
      <c r="J180" s="5"/>
      <c r="K180" s="28"/>
      <c r="L180" s="26"/>
      <c r="M180" s="24"/>
      <c r="N180" s="25"/>
      <c r="O180" s="26"/>
      <c r="P180" s="28"/>
      <c r="Q180" s="26"/>
      <c r="R180" s="28"/>
      <c r="S180" s="25"/>
      <c r="T180" s="26"/>
      <c r="U180" s="28"/>
      <c r="V180" s="25"/>
      <c r="W180" s="26"/>
      <c r="X180" s="29"/>
      <c r="Y180" s="26"/>
      <c r="Z180" s="29"/>
      <c r="AA180" s="26"/>
      <c r="AB180" s="28"/>
      <c r="AC180" s="25"/>
      <c r="AD180" s="26"/>
    </row>
    <row r="181">
      <c r="A181" s="22" t="str">
        <f t="shared" si="1"/>
        <v>TC0170</v>
      </c>
      <c r="B181" s="23"/>
      <c r="C181" s="5"/>
      <c r="D181" s="24"/>
      <c r="E181" s="25"/>
      <c r="F181" s="26"/>
      <c r="G181" s="27"/>
      <c r="H181" s="5"/>
      <c r="I181" s="27"/>
      <c r="J181" s="5"/>
      <c r="K181" s="28"/>
      <c r="L181" s="26"/>
      <c r="M181" s="24"/>
      <c r="N181" s="25"/>
      <c r="O181" s="26"/>
      <c r="P181" s="28"/>
      <c r="Q181" s="26"/>
      <c r="R181" s="28"/>
      <c r="S181" s="25"/>
      <c r="T181" s="26"/>
      <c r="U181" s="28"/>
      <c r="V181" s="25"/>
      <c r="W181" s="26"/>
      <c r="X181" s="29"/>
      <c r="Y181" s="26"/>
      <c r="Z181" s="29"/>
      <c r="AA181" s="26"/>
      <c r="AB181" s="28"/>
      <c r="AC181" s="25"/>
      <c r="AD181" s="26"/>
    </row>
    <row r="182">
      <c r="A182" s="22" t="str">
        <f t="shared" si="1"/>
        <v>TC0171</v>
      </c>
      <c r="B182" s="23"/>
      <c r="C182" s="5"/>
      <c r="D182" s="24"/>
      <c r="E182" s="25"/>
      <c r="F182" s="26"/>
      <c r="G182" s="27"/>
      <c r="H182" s="5"/>
      <c r="I182" s="27"/>
      <c r="J182" s="5"/>
      <c r="K182" s="28"/>
      <c r="L182" s="26"/>
      <c r="M182" s="24"/>
      <c r="N182" s="25"/>
      <c r="O182" s="26"/>
      <c r="P182" s="28"/>
      <c r="Q182" s="26"/>
      <c r="R182" s="28"/>
      <c r="S182" s="25"/>
      <c r="T182" s="26"/>
      <c r="U182" s="28"/>
      <c r="V182" s="25"/>
      <c r="W182" s="26"/>
      <c r="X182" s="29"/>
      <c r="Y182" s="26"/>
      <c r="Z182" s="29"/>
      <c r="AA182" s="26"/>
      <c r="AB182" s="28"/>
      <c r="AC182" s="25"/>
      <c r="AD182" s="26"/>
    </row>
    <row r="183">
      <c r="A183" s="22" t="str">
        <f t="shared" si="1"/>
        <v>TC0172</v>
      </c>
      <c r="B183" s="23"/>
      <c r="C183" s="5"/>
      <c r="D183" s="24"/>
      <c r="E183" s="25"/>
      <c r="F183" s="26"/>
      <c r="G183" s="27"/>
      <c r="H183" s="5"/>
      <c r="I183" s="27"/>
      <c r="J183" s="5"/>
      <c r="K183" s="28"/>
      <c r="L183" s="26"/>
      <c r="M183" s="24"/>
      <c r="N183" s="25"/>
      <c r="O183" s="26"/>
      <c r="P183" s="28"/>
      <c r="Q183" s="26"/>
      <c r="R183" s="28"/>
      <c r="S183" s="25"/>
      <c r="T183" s="26"/>
      <c r="U183" s="28"/>
      <c r="V183" s="25"/>
      <c r="W183" s="26"/>
      <c r="X183" s="29"/>
      <c r="Y183" s="26"/>
      <c r="Z183" s="29"/>
      <c r="AA183" s="26"/>
      <c r="AB183" s="28"/>
      <c r="AC183" s="25"/>
      <c r="AD183" s="26"/>
    </row>
    <row r="184">
      <c r="A184" s="22" t="str">
        <f t="shared" si="1"/>
        <v>TC0173</v>
      </c>
      <c r="B184" s="23"/>
      <c r="C184" s="5"/>
      <c r="D184" s="24"/>
      <c r="E184" s="25"/>
      <c r="F184" s="26"/>
      <c r="G184" s="27"/>
      <c r="H184" s="5"/>
      <c r="I184" s="27"/>
      <c r="J184" s="5"/>
      <c r="K184" s="28"/>
      <c r="L184" s="26"/>
      <c r="M184" s="24"/>
      <c r="N184" s="25"/>
      <c r="O184" s="26"/>
      <c r="P184" s="28"/>
      <c r="Q184" s="26"/>
      <c r="R184" s="28"/>
      <c r="S184" s="25"/>
      <c r="T184" s="26"/>
      <c r="U184" s="28"/>
      <c r="V184" s="25"/>
      <c r="W184" s="26"/>
      <c r="X184" s="29"/>
      <c r="Y184" s="26"/>
      <c r="Z184" s="29"/>
      <c r="AA184" s="26"/>
      <c r="AB184" s="28"/>
      <c r="AC184" s="25"/>
      <c r="AD184" s="26"/>
    </row>
    <row r="185">
      <c r="A185" s="22" t="str">
        <f t="shared" si="1"/>
        <v>TC0174</v>
      </c>
      <c r="B185" s="23"/>
      <c r="C185" s="5"/>
      <c r="D185" s="24"/>
      <c r="E185" s="25"/>
      <c r="F185" s="26"/>
      <c r="G185" s="27"/>
      <c r="H185" s="5"/>
      <c r="I185" s="27"/>
      <c r="J185" s="5"/>
      <c r="K185" s="28"/>
      <c r="L185" s="26"/>
      <c r="M185" s="24"/>
      <c r="N185" s="25"/>
      <c r="O185" s="26"/>
      <c r="P185" s="28"/>
      <c r="Q185" s="26"/>
      <c r="R185" s="28"/>
      <c r="S185" s="25"/>
      <c r="T185" s="26"/>
      <c r="U185" s="28"/>
      <c r="V185" s="25"/>
      <c r="W185" s="26"/>
      <c r="X185" s="29"/>
      <c r="Y185" s="26"/>
      <c r="Z185" s="29"/>
      <c r="AA185" s="26"/>
      <c r="AB185" s="28"/>
      <c r="AC185" s="25"/>
      <c r="AD185" s="26"/>
    </row>
    <row r="186">
      <c r="A186" s="22" t="str">
        <f t="shared" si="1"/>
        <v>TC0175</v>
      </c>
      <c r="B186" s="23"/>
      <c r="C186" s="5"/>
      <c r="D186" s="24"/>
      <c r="E186" s="25"/>
      <c r="F186" s="26"/>
      <c r="G186" s="27"/>
      <c r="H186" s="5"/>
      <c r="I186" s="27"/>
      <c r="J186" s="5"/>
      <c r="K186" s="28"/>
      <c r="L186" s="26"/>
      <c r="M186" s="24"/>
      <c r="N186" s="25"/>
      <c r="O186" s="26"/>
      <c r="P186" s="28"/>
      <c r="Q186" s="26"/>
      <c r="R186" s="28"/>
      <c r="S186" s="25"/>
      <c r="T186" s="26"/>
      <c r="U186" s="28"/>
      <c r="V186" s="25"/>
      <c r="W186" s="26"/>
      <c r="X186" s="29"/>
      <c r="Y186" s="26"/>
      <c r="Z186" s="29"/>
      <c r="AA186" s="26"/>
      <c r="AB186" s="28"/>
      <c r="AC186" s="25"/>
      <c r="AD186" s="26"/>
    </row>
    <row r="187">
      <c r="A187" s="22" t="str">
        <f t="shared" si="1"/>
        <v>TC0176</v>
      </c>
      <c r="B187" s="23"/>
      <c r="C187" s="5"/>
      <c r="D187" s="24"/>
      <c r="E187" s="25"/>
      <c r="F187" s="26"/>
      <c r="G187" s="27"/>
      <c r="H187" s="5"/>
      <c r="I187" s="27"/>
      <c r="J187" s="5"/>
      <c r="K187" s="28"/>
      <c r="L187" s="26"/>
      <c r="M187" s="24"/>
      <c r="N187" s="25"/>
      <c r="O187" s="26"/>
      <c r="P187" s="28"/>
      <c r="Q187" s="26"/>
      <c r="R187" s="28"/>
      <c r="S187" s="25"/>
      <c r="T187" s="26"/>
      <c r="U187" s="28"/>
      <c r="V187" s="25"/>
      <c r="W187" s="26"/>
      <c r="X187" s="29"/>
      <c r="Y187" s="26"/>
      <c r="Z187" s="29"/>
      <c r="AA187" s="26"/>
      <c r="AB187" s="28"/>
      <c r="AC187" s="25"/>
      <c r="AD187" s="26"/>
    </row>
    <row r="188">
      <c r="A188" s="22" t="str">
        <f t="shared" si="1"/>
        <v>TC0177</v>
      </c>
      <c r="B188" s="23"/>
      <c r="C188" s="5"/>
      <c r="D188" s="24"/>
      <c r="E188" s="25"/>
      <c r="F188" s="26"/>
      <c r="G188" s="27"/>
      <c r="H188" s="5"/>
      <c r="I188" s="27"/>
      <c r="J188" s="5"/>
      <c r="K188" s="28"/>
      <c r="L188" s="26"/>
      <c r="M188" s="24"/>
      <c r="N188" s="25"/>
      <c r="O188" s="26"/>
      <c r="P188" s="28"/>
      <c r="Q188" s="26"/>
      <c r="R188" s="28"/>
      <c r="S188" s="25"/>
      <c r="T188" s="26"/>
      <c r="U188" s="28"/>
      <c r="V188" s="25"/>
      <c r="W188" s="26"/>
      <c r="X188" s="29"/>
      <c r="Y188" s="26"/>
      <c r="Z188" s="29"/>
      <c r="AA188" s="26"/>
      <c r="AB188" s="28"/>
      <c r="AC188" s="25"/>
      <c r="AD188" s="26"/>
    </row>
    <row r="189">
      <c r="A189" s="22" t="str">
        <f t="shared" si="1"/>
        <v>TC0178</v>
      </c>
      <c r="B189" s="23"/>
      <c r="C189" s="5"/>
      <c r="D189" s="24"/>
      <c r="E189" s="25"/>
      <c r="F189" s="26"/>
      <c r="G189" s="27"/>
      <c r="H189" s="5"/>
      <c r="I189" s="27"/>
      <c r="J189" s="5"/>
      <c r="K189" s="28"/>
      <c r="L189" s="26"/>
      <c r="M189" s="24"/>
      <c r="N189" s="25"/>
      <c r="O189" s="26"/>
      <c r="P189" s="28"/>
      <c r="Q189" s="26"/>
      <c r="R189" s="28"/>
      <c r="S189" s="25"/>
      <c r="T189" s="26"/>
      <c r="U189" s="28"/>
      <c r="V189" s="25"/>
      <c r="W189" s="26"/>
      <c r="X189" s="29"/>
      <c r="Y189" s="26"/>
      <c r="Z189" s="29"/>
      <c r="AA189" s="26"/>
      <c r="AB189" s="28"/>
      <c r="AC189" s="25"/>
      <c r="AD189" s="26"/>
    </row>
    <row r="190">
      <c r="A190" s="22" t="str">
        <f t="shared" si="1"/>
        <v>TC0179</v>
      </c>
      <c r="B190" s="23"/>
      <c r="C190" s="5"/>
      <c r="D190" s="24"/>
      <c r="E190" s="25"/>
      <c r="F190" s="26"/>
      <c r="G190" s="27"/>
      <c r="H190" s="5"/>
      <c r="I190" s="27"/>
      <c r="J190" s="5"/>
      <c r="K190" s="28"/>
      <c r="L190" s="26"/>
      <c r="M190" s="24"/>
      <c r="N190" s="25"/>
      <c r="O190" s="26"/>
      <c r="P190" s="28"/>
      <c r="Q190" s="26"/>
      <c r="R190" s="28"/>
      <c r="S190" s="25"/>
      <c r="T190" s="26"/>
      <c r="U190" s="28"/>
      <c r="V190" s="25"/>
      <c r="W190" s="26"/>
      <c r="X190" s="29"/>
      <c r="Y190" s="26"/>
      <c r="Z190" s="29"/>
      <c r="AA190" s="26"/>
      <c r="AB190" s="28"/>
      <c r="AC190" s="25"/>
      <c r="AD190" s="26"/>
    </row>
    <row r="191">
      <c r="A191" s="22" t="str">
        <f t="shared" si="1"/>
        <v>TC0180</v>
      </c>
      <c r="B191" s="23"/>
      <c r="C191" s="5"/>
      <c r="D191" s="24"/>
      <c r="E191" s="25"/>
      <c r="F191" s="26"/>
      <c r="G191" s="27"/>
      <c r="H191" s="5"/>
      <c r="I191" s="27"/>
      <c r="J191" s="5"/>
      <c r="K191" s="28"/>
      <c r="L191" s="26"/>
      <c r="M191" s="24"/>
      <c r="N191" s="25"/>
      <c r="O191" s="26"/>
      <c r="P191" s="28"/>
      <c r="Q191" s="26"/>
      <c r="R191" s="28"/>
      <c r="S191" s="25"/>
      <c r="T191" s="26"/>
      <c r="U191" s="28"/>
      <c r="V191" s="25"/>
      <c r="W191" s="26"/>
      <c r="X191" s="29"/>
      <c r="Y191" s="26"/>
      <c r="Z191" s="29"/>
      <c r="AA191" s="26"/>
      <c r="AB191" s="28"/>
      <c r="AC191" s="25"/>
      <c r="AD191" s="26"/>
    </row>
    <row r="192">
      <c r="A192" s="22" t="str">
        <f t="shared" si="1"/>
        <v>TC0181</v>
      </c>
      <c r="B192" s="23"/>
      <c r="C192" s="5"/>
      <c r="D192" s="24"/>
      <c r="E192" s="25"/>
      <c r="F192" s="26"/>
      <c r="G192" s="27"/>
      <c r="H192" s="5"/>
      <c r="I192" s="27"/>
      <c r="J192" s="5"/>
      <c r="K192" s="28"/>
      <c r="L192" s="26"/>
      <c r="M192" s="24"/>
      <c r="N192" s="25"/>
      <c r="O192" s="26"/>
      <c r="P192" s="28"/>
      <c r="Q192" s="26"/>
      <c r="R192" s="28"/>
      <c r="S192" s="25"/>
      <c r="T192" s="26"/>
      <c r="U192" s="28"/>
      <c r="V192" s="25"/>
      <c r="W192" s="26"/>
      <c r="X192" s="29"/>
      <c r="Y192" s="26"/>
      <c r="Z192" s="29"/>
      <c r="AA192" s="26"/>
      <c r="AB192" s="28"/>
      <c r="AC192" s="25"/>
      <c r="AD192" s="26"/>
    </row>
    <row r="193">
      <c r="A193" s="22" t="str">
        <f t="shared" si="1"/>
        <v>TC0182</v>
      </c>
      <c r="B193" s="23"/>
      <c r="C193" s="5"/>
      <c r="D193" s="24"/>
      <c r="E193" s="25"/>
      <c r="F193" s="26"/>
      <c r="G193" s="27"/>
      <c r="H193" s="5"/>
      <c r="I193" s="27"/>
      <c r="J193" s="5"/>
      <c r="K193" s="28"/>
      <c r="L193" s="26"/>
      <c r="M193" s="24"/>
      <c r="N193" s="25"/>
      <c r="O193" s="26"/>
      <c r="P193" s="28"/>
      <c r="Q193" s="26"/>
      <c r="R193" s="28"/>
      <c r="S193" s="25"/>
      <c r="T193" s="26"/>
      <c r="U193" s="28"/>
      <c r="V193" s="25"/>
      <c r="W193" s="26"/>
      <c r="X193" s="29"/>
      <c r="Y193" s="26"/>
      <c r="Z193" s="29"/>
      <c r="AA193" s="26"/>
      <c r="AB193" s="28"/>
      <c r="AC193" s="25"/>
      <c r="AD193" s="26"/>
    </row>
    <row r="194">
      <c r="A194" s="22" t="str">
        <f t="shared" si="1"/>
        <v>TC0183</v>
      </c>
      <c r="B194" s="23"/>
      <c r="C194" s="5"/>
      <c r="D194" s="24"/>
      <c r="E194" s="25"/>
      <c r="F194" s="26"/>
      <c r="G194" s="27"/>
      <c r="H194" s="5"/>
      <c r="I194" s="27"/>
      <c r="J194" s="5"/>
      <c r="K194" s="28"/>
      <c r="L194" s="26"/>
      <c r="M194" s="24"/>
      <c r="N194" s="25"/>
      <c r="O194" s="26"/>
      <c r="P194" s="28"/>
      <c r="Q194" s="26"/>
      <c r="R194" s="28"/>
      <c r="S194" s="25"/>
      <c r="T194" s="26"/>
      <c r="U194" s="28"/>
      <c r="V194" s="25"/>
      <c r="W194" s="26"/>
      <c r="X194" s="29"/>
      <c r="Y194" s="26"/>
      <c r="Z194" s="29"/>
      <c r="AA194" s="26"/>
      <c r="AB194" s="28"/>
      <c r="AC194" s="25"/>
      <c r="AD194" s="26"/>
    </row>
    <row r="195">
      <c r="A195" s="22" t="str">
        <f t="shared" si="1"/>
        <v>TC0184</v>
      </c>
      <c r="B195" s="23"/>
      <c r="C195" s="5"/>
      <c r="D195" s="24"/>
      <c r="E195" s="25"/>
      <c r="F195" s="26"/>
      <c r="G195" s="27"/>
      <c r="H195" s="5"/>
      <c r="I195" s="27"/>
      <c r="J195" s="5"/>
      <c r="K195" s="28"/>
      <c r="L195" s="26"/>
      <c r="M195" s="24"/>
      <c r="N195" s="25"/>
      <c r="O195" s="26"/>
      <c r="P195" s="28"/>
      <c r="Q195" s="26"/>
      <c r="R195" s="28"/>
      <c r="S195" s="25"/>
      <c r="T195" s="26"/>
      <c r="U195" s="28"/>
      <c r="V195" s="25"/>
      <c r="W195" s="26"/>
      <c r="X195" s="29"/>
      <c r="Y195" s="26"/>
      <c r="Z195" s="29"/>
      <c r="AA195" s="26"/>
      <c r="AB195" s="28"/>
      <c r="AC195" s="25"/>
      <c r="AD195" s="26"/>
    </row>
    <row r="196">
      <c r="A196" s="22" t="str">
        <f t="shared" si="1"/>
        <v>TC0185</v>
      </c>
      <c r="B196" s="23"/>
      <c r="C196" s="5"/>
      <c r="D196" s="24"/>
      <c r="E196" s="25"/>
      <c r="F196" s="26"/>
      <c r="G196" s="27"/>
      <c r="H196" s="5"/>
      <c r="I196" s="27"/>
      <c r="J196" s="5"/>
      <c r="K196" s="28"/>
      <c r="L196" s="26"/>
      <c r="M196" s="24"/>
      <c r="N196" s="25"/>
      <c r="O196" s="26"/>
      <c r="P196" s="28"/>
      <c r="Q196" s="26"/>
      <c r="R196" s="28"/>
      <c r="S196" s="25"/>
      <c r="T196" s="26"/>
      <c r="U196" s="28"/>
      <c r="V196" s="25"/>
      <c r="W196" s="26"/>
      <c r="X196" s="29"/>
      <c r="Y196" s="26"/>
      <c r="Z196" s="29"/>
      <c r="AA196" s="26"/>
      <c r="AB196" s="28"/>
      <c r="AC196" s="25"/>
      <c r="AD196" s="26"/>
    </row>
    <row r="197">
      <c r="A197" s="22" t="str">
        <f t="shared" si="1"/>
        <v>TC0186</v>
      </c>
      <c r="B197" s="23"/>
      <c r="C197" s="5"/>
      <c r="D197" s="24"/>
      <c r="E197" s="25"/>
      <c r="F197" s="26"/>
      <c r="G197" s="27"/>
      <c r="H197" s="5"/>
      <c r="I197" s="27"/>
      <c r="J197" s="5"/>
      <c r="K197" s="28"/>
      <c r="L197" s="26"/>
      <c r="M197" s="24"/>
      <c r="N197" s="25"/>
      <c r="O197" s="26"/>
      <c r="P197" s="28"/>
      <c r="Q197" s="26"/>
      <c r="R197" s="28"/>
      <c r="S197" s="25"/>
      <c r="T197" s="26"/>
      <c r="U197" s="28"/>
      <c r="V197" s="25"/>
      <c r="W197" s="26"/>
      <c r="X197" s="29"/>
      <c r="Y197" s="26"/>
      <c r="Z197" s="29"/>
      <c r="AA197" s="26"/>
      <c r="AB197" s="28"/>
      <c r="AC197" s="25"/>
      <c r="AD197" s="26"/>
    </row>
    <row r="198">
      <c r="A198" s="22" t="str">
        <f t="shared" si="1"/>
        <v>TC0187</v>
      </c>
      <c r="B198" s="23"/>
      <c r="C198" s="5"/>
      <c r="D198" s="24"/>
      <c r="E198" s="25"/>
      <c r="F198" s="26"/>
      <c r="G198" s="27"/>
      <c r="H198" s="5"/>
      <c r="I198" s="27"/>
      <c r="J198" s="5"/>
      <c r="K198" s="28"/>
      <c r="L198" s="26"/>
      <c r="M198" s="24"/>
      <c r="N198" s="25"/>
      <c r="O198" s="26"/>
      <c r="P198" s="28"/>
      <c r="Q198" s="26"/>
      <c r="R198" s="28"/>
      <c r="S198" s="25"/>
      <c r="T198" s="26"/>
      <c r="U198" s="28"/>
      <c r="V198" s="25"/>
      <c r="W198" s="26"/>
      <c r="X198" s="29"/>
      <c r="Y198" s="26"/>
      <c r="Z198" s="29"/>
      <c r="AA198" s="26"/>
      <c r="AB198" s="28"/>
      <c r="AC198" s="25"/>
      <c r="AD198" s="26"/>
    </row>
    <row r="199">
      <c r="A199" s="22" t="str">
        <f t="shared" si="1"/>
        <v>TC0188</v>
      </c>
      <c r="B199" s="23"/>
      <c r="C199" s="5"/>
      <c r="D199" s="24"/>
      <c r="E199" s="25"/>
      <c r="F199" s="26"/>
      <c r="G199" s="27"/>
      <c r="H199" s="5"/>
      <c r="I199" s="27"/>
      <c r="J199" s="5"/>
      <c r="K199" s="28"/>
      <c r="L199" s="26"/>
      <c r="M199" s="24"/>
      <c r="N199" s="25"/>
      <c r="O199" s="26"/>
      <c r="P199" s="28"/>
      <c r="Q199" s="26"/>
      <c r="R199" s="28"/>
      <c r="S199" s="25"/>
      <c r="T199" s="26"/>
      <c r="U199" s="28"/>
      <c r="V199" s="25"/>
      <c r="W199" s="26"/>
      <c r="X199" s="29"/>
      <c r="Y199" s="26"/>
      <c r="Z199" s="29"/>
      <c r="AA199" s="26"/>
      <c r="AB199" s="28"/>
      <c r="AC199" s="25"/>
      <c r="AD199" s="26"/>
    </row>
    <row r="200">
      <c r="A200" s="22" t="str">
        <f t="shared" si="1"/>
        <v>TC0189</v>
      </c>
      <c r="B200" s="23"/>
      <c r="C200" s="5"/>
      <c r="D200" s="24"/>
      <c r="E200" s="25"/>
      <c r="F200" s="26"/>
      <c r="G200" s="27"/>
      <c r="H200" s="5"/>
      <c r="I200" s="27"/>
      <c r="J200" s="5"/>
      <c r="K200" s="28"/>
      <c r="L200" s="26"/>
      <c r="M200" s="24"/>
      <c r="N200" s="25"/>
      <c r="O200" s="26"/>
      <c r="P200" s="28"/>
      <c r="Q200" s="26"/>
      <c r="R200" s="28"/>
      <c r="S200" s="25"/>
      <c r="T200" s="26"/>
      <c r="U200" s="28"/>
      <c r="V200" s="25"/>
      <c r="W200" s="26"/>
      <c r="X200" s="29"/>
      <c r="Y200" s="26"/>
      <c r="Z200" s="29"/>
      <c r="AA200" s="26"/>
      <c r="AB200" s="28"/>
      <c r="AC200" s="25"/>
      <c r="AD200" s="26"/>
    </row>
    <row r="201">
      <c r="A201" s="22" t="str">
        <f t="shared" si="1"/>
        <v>TC0190</v>
      </c>
      <c r="B201" s="23"/>
      <c r="C201" s="5"/>
      <c r="D201" s="24"/>
      <c r="E201" s="25"/>
      <c r="F201" s="26"/>
      <c r="G201" s="27"/>
      <c r="H201" s="5"/>
      <c r="I201" s="27"/>
      <c r="J201" s="5"/>
      <c r="K201" s="28"/>
      <c r="L201" s="26"/>
      <c r="M201" s="24"/>
      <c r="N201" s="25"/>
      <c r="O201" s="26"/>
      <c r="P201" s="28"/>
      <c r="Q201" s="26"/>
      <c r="R201" s="28"/>
      <c r="S201" s="25"/>
      <c r="T201" s="26"/>
      <c r="U201" s="28"/>
      <c r="V201" s="25"/>
      <c r="W201" s="26"/>
      <c r="X201" s="29"/>
      <c r="Y201" s="26"/>
      <c r="Z201" s="29"/>
      <c r="AA201" s="26"/>
      <c r="AB201" s="28"/>
      <c r="AC201" s="25"/>
      <c r="AD201" s="26"/>
    </row>
    <row r="202">
      <c r="A202" s="22" t="str">
        <f t="shared" si="1"/>
        <v>TC0191</v>
      </c>
      <c r="B202" s="23"/>
      <c r="C202" s="5"/>
      <c r="D202" s="24"/>
      <c r="E202" s="25"/>
      <c r="F202" s="26"/>
      <c r="G202" s="27"/>
      <c r="H202" s="5"/>
      <c r="I202" s="27"/>
      <c r="J202" s="5"/>
      <c r="K202" s="28"/>
      <c r="L202" s="26"/>
      <c r="M202" s="24"/>
      <c r="N202" s="25"/>
      <c r="O202" s="26"/>
      <c r="P202" s="28"/>
      <c r="Q202" s="26"/>
      <c r="R202" s="28"/>
      <c r="S202" s="25"/>
      <c r="T202" s="26"/>
      <c r="U202" s="28"/>
      <c r="V202" s="25"/>
      <c r="W202" s="26"/>
      <c r="X202" s="29"/>
      <c r="Y202" s="26"/>
      <c r="Z202" s="29"/>
      <c r="AA202" s="26"/>
      <c r="AB202" s="28"/>
      <c r="AC202" s="25"/>
      <c r="AD202" s="26"/>
    </row>
    <row r="203">
      <c r="A203" s="22" t="str">
        <f t="shared" si="1"/>
        <v>TC0192</v>
      </c>
      <c r="B203" s="23"/>
      <c r="C203" s="5"/>
      <c r="D203" s="24"/>
      <c r="E203" s="25"/>
      <c r="F203" s="26"/>
      <c r="G203" s="27"/>
      <c r="H203" s="5"/>
      <c r="I203" s="27"/>
      <c r="J203" s="5"/>
      <c r="K203" s="28"/>
      <c r="L203" s="26"/>
      <c r="M203" s="24"/>
      <c r="N203" s="25"/>
      <c r="O203" s="26"/>
      <c r="P203" s="28"/>
      <c r="Q203" s="26"/>
      <c r="R203" s="28"/>
      <c r="S203" s="25"/>
      <c r="T203" s="26"/>
      <c r="U203" s="28"/>
      <c r="V203" s="25"/>
      <c r="W203" s="26"/>
      <c r="X203" s="29"/>
      <c r="Y203" s="26"/>
      <c r="Z203" s="29"/>
      <c r="AA203" s="26"/>
      <c r="AB203" s="28"/>
      <c r="AC203" s="25"/>
      <c r="AD203" s="26"/>
    </row>
    <row r="204">
      <c r="A204" s="22" t="str">
        <f t="shared" si="1"/>
        <v>TC0193</v>
      </c>
      <c r="B204" s="23"/>
      <c r="C204" s="5"/>
      <c r="D204" s="24"/>
      <c r="E204" s="25"/>
      <c r="F204" s="26"/>
      <c r="G204" s="27"/>
      <c r="H204" s="5"/>
      <c r="I204" s="27"/>
      <c r="J204" s="5"/>
      <c r="K204" s="28"/>
      <c r="L204" s="26"/>
      <c r="M204" s="24"/>
      <c r="N204" s="25"/>
      <c r="O204" s="26"/>
      <c r="P204" s="28"/>
      <c r="Q204" s="26"/>
      <c r="R204" s="28"/>
      <c r="S204" s="25"/>
      <c r="T204" s="26"/>
      <c r="U204" s="28"/>
      <c r="V204" s="25"/>
      <c r="W204" s="26"/>
      <c r="X204" s="29"/>
      <c r="Y204" s="26"/>
      <c r="Z204" s="29"/>
      <c r="AA204" s="26"/>
      <c r="AB204" s="28"/>
      <c r="AC204" s="25"/>
      <c r="AD204" s="26"/>
    </row>
    <row r="205">
      <c r="A205" s="22" t="str">
        <f t="shared" si="1"/>
        <v>TC0194</v>
      </c>
      <c r="B205" s="23"/>
      <c r="C205" s="5"/>
      <c r="D205" s="24"/>
      <c r="E205" s="25"/>
      <c r="F205" s="26"/>
      <c r="G205" s="27"/>
      <c r="H205" s="5"/>
      <c r="I205" s="27"/>
      <c r="J205" s="5"/>
      <c r="K205" s="28"/>
      <c r="L205" s="26"/>
      <c r="M205" s="24"/>
      <c r="N205" s="25"/>
      <c r="O205" s="26"/>
      <c r="P205" s="28"/>
      <c r="Q205" s="26"/>
      <c r="R205" s="28"/>
      <c r="S205" s="25"/>
      <c r="T205" s="26"/>
      <c r="U205" s="28"/>
      <c r="V205" s="25"/>
      <c r="W205" s="26"/>
      <c r="X205" s="29"/>
      <c r="Y205" s="26"/>
      <c r="Z205" s="29"/>
      <c r="AA205" s="26"/>
      <c r="AB205" s="28"/>
      <c r="AC205" s="25"/>
      <c r="AD205" s="26"/>
    </row>
    <row r="206">
      <c r="A206" s="22" t="str">
        <f t="shared" si="1"/>
        <v>TC0195</v>
      </c>
      <c r="B206" s="23"/>
      <c r="C206" s="5"/>
      <c r="D206" s="24"/>
      <c r="E206" s="25"/>
      <c r="F206" s="26"/>
      <c r="G206" s="27"/>
      <c r="H206" s="5"/>
      <c r="I206" s="27"/>
      <c r="J206" s="5"/>
      <c r="K206" s="28"/>
      <c r="L206" s="26"/>
      <c r="M206" s="24"/>
      <c r="N206" s="25"/>
      <c r="O206" s="26"/>
      <c r="P206" s="28"/>
      <c r="Q206" s="26"/>
      <c r="R206" s="28"/>
      <c r="S206" s="25"/>
      <c r="T206" s="26"/>
      <c r="U206" s="28"/>
      <c r="V206" s="25"/>
      <c r="W206" s="26"/>
      <c r="X206" s="29"/>
      <c r="Y206" s="26"/>
      <c r="Z206" s="29"/>
      <c r="AA206" s="26"/>
      <c r="AB206" s="28"/>
      <c r="AC206" s="25"/>
      <c r="AD206" s="26"/>
    </row>
    <row r="207">
      <c r="A207" s="22" t="str">
        <f t="shared" si="1"/>
        <v>TC0196</v>
      </c>
      <c r="B207" s="23"/>
      <c r="C207" s="5"/>
      <c r="D207" s="24"/>
      <c r="E207" s="25"/>
      <c r="F207" s="26"/>
      <c r="G207" s="27"/>
      <c r="H207" s="5"/>
      <c r="I207" s="27"/>
      <c r="J207" s="5"/>
      <c r="K207" s="28"/>
      <c r="L207" s="26"/>
      <c r="M207" s="24"/>
      <c r="N207" s="25"/>
      <c r="O207" s="26"/>
      <c r="P207" s="28"/>
      <c r="Q207" s="26"/>
      <c r="R207" s="28"/>
      <c r="S207" s="25"/>
      <c r="T207" s="26"/>
      <c r="U207" s="28"/>
      <c r="V207" s="25"/>
      <c r="W207" s="26"/>
      <c r="X207" s="29"/>
      <c r="Y207" s="26"/>
      <c r="Z207" s="29"/>
      <c r="AA207" s="26"/>
      <c r="AB207" s="28"/>
      <c r="AC207" s="25"/>
      <c r="AD207" s="26"/>
    </row>
    <row r="208">
      <c r="A208" s="22" t="str">
        <f t="shared" si="1"/>
        <v>TC0197</v>
      </c>
      <c r="B208" s="23"/>
      <c r="C208" s="5"/>
      <c r="D208" s="24"/>
      <c r="E208" s="25"/>
      <c r="F208" s="26"/>
      <c r="G208" s="27"/>
      <c r="H208" s="5"/>
      <c r="I208" s="27"/>
      <c r="J208" s="5"/>
      <c r="K208" s="28"/>
      <c r="L208" s="26"/>
      <c r="M208" s="24"/>
      <c r="N208" s="25"/>
      <c r="O208" s="26"/>
      <c r="P208" s="28"/>
      <c r="Q208" s="26"/>
      <c r="R208" s="28"/>
      <c r="S208" s="25"/>
      <c r="T208" s="26"/>
      <c r="U208" s="28"/>
      <c r="V208" s="25"/>
      <c r="W208" s="26"/>
      <c r="X208" s="29"/>
      <c r="Y208" s="26"/>
      <c r="Z208" s="29"/>
      <c r="AA208" s="26"/>
      <c r="AB208" s="28"/>
      <c r="AC208" s="25"/>
      <c r="AD208" s="26"/>
    </row>
    <row r="209">
      <c r="A209" s="22" t="str">
        <f t="shared" si="1"/>
        <v>TC0198</v>
      </c>
      <c r="B209" s="23"/>
      <c r="C209" s="5"/>
      <c r="D209" s="24"/>
      <c r="E209" s="25"/>
      <c r="F209" s="26"/>
      <c r="G209" s="27"/>
      <c r="H209" s="5"/>
      <c r="I209" s="27"/>
      <c r="J209" s="5"/>
      <c r="K209" s="28"/>
      <c r="L209" s="26"/>
      <c r="M209" s="24"/>
      <c r="N209" s="25"/>
      <c r="O209" s="26"/>
      <c r="P209" s="28"/>
      <c r="Q209" s="26"/>
      <c r="R209" s="28"/>
      <c r="S209" s="25"/>
      <c r="T209" s="26"/>
      <c r="U209" s="28"/>
      <c r="V209" s="25"/>
      <c r="W209" s="26"/>
      <c r="X209" s="29"/>
      <c r="Y209" s="26"/>
      <c r="Z209" s="29"/>
      <c r="AA209" s="26"/>
      <c r="AB209" s="28"/>
      <c r="AC209" s="25"/>
      <c r="AD209" s="26"/>
    </row>
    <row r="210">
      <c r="A210" s="22" t="str">
        <f t="shared" si="1"/>
        <v>TC0199</v>
      </c>
      <c r="B210" s="23"/>
      <c r="C210" s="5"/>
      <c r="D210" s="24"/>
      <c r="E210" s="25"/>
      <c r="F210" s="26"/>
      <c r="G210" s="27"/>
      <c r="H210" s="5"/>
      <c r="I210" s="27"/>
      <c r="J210" s="5"/>
      <c r="K210" s="28"/>
      <c r="L210" s="26"/>
      <c r="M210" s="24"/>
      <c r="N210" s="25"/>
      <c r="O210" s="26"/>
      <c r="P210" s="28"/>
      <c r="Q210" s="26"/>
      <c r="R210" s="28"/>
      <c r="S210" s="25"/>
      <c r="T210" s="26"/>
      <c r="U210" s="28"/>
      <c r="V210" s="25"/>
      <c r="W210" s="26"/>
      <c r="X210" s="29"/>
      <c r="Y210" s="26"/>
      <c r="Z210" s="29"/>
      <c r="AA210" s="26"/>
      <c r="AB210" s="28"/>
      <c r="AC210" s="25"/>
      <c r="AD210" s="26"/>
    </row>
    <row r="211">
      <c r="A211" s="22" t="str">
        <f t="shared" si="1"/>
        <v>TC0200</v>
      </c>
      <c r="B211" s="23"/>
      <c r="C211" s="5"/>
      <c r="D211" s="24"/>
      <c r="E211" s="25"/>
      <c r="F211" s="26"/>
      <c r="G211" s="27"/>
      <c r="H211" s="5"/>
      <c r="I211" s="27"/>
      <c r="J211" s="5"/>
      <c r="K211" s="28"/>
      <c r="L211" s="26"/>
      <c r="M211" s="24"/>
      <c r="N211" s="25"/>
      <c r="O211" s="26"/>
      <c r="P211" s="28"/>
      <c r="Q211" s="26"/>
      <c r="R211" s="28"/>
      <c r="S211" s="25"/>
      <c r="T211" s="26"/>
      <c r="U211" s="28"/>
      <c r="V211" s="25"/>
      <c r="W211" s="26"/>
      <c r="X211" s="29"/>
      <c r="Y211" s="26"/>
      <c r="Z211" s="29"/>
      <c r="AA211" s="26"/>
      <c r="AB211" s="28"/>
      <c r="AC211" s="25"/>
      <c r="AD211" s="26"/>
    </row>
    <row r="212">
      <c r="A212" s="22" t="str">
        <f t="shared" si="1"/>
        <v>TC0201</v>
      </c>
      <c r="B212" s="23"/>
      <c r="C212" s="5"/>
      <c r="D212" s="24"/>
      <c r="E212" s="25"/>
      <c r="F212" s="26"/>
      <c r="G212" s="27"/>
      <c r="H212" s="5"/>
      <c r="I212" s="27"/>
      <c r="J212" s="5"/>
      <c r="K212" s="28"/>
      <c r="L212" s="26"/>
      <c r="M212" s="24"/>
      <c r="N212" s="25"/>
      <c r="O212" s="26"/>
      <c r="P212" s="28"/>
      <c r="Q212" s="26"/>
      <c r="R212" s="28"/>
      <c r="S212" s="25"/>
      <c r="T212" s="26"/>
      <c r="U212" s="28"/>
      <c r="V212" s="25"/>
      <c r="W212" s="26"/>
      <c r="X212" s="29"/>
      <c r="Y212" s="26"/>
      <c r="Z212" s="29"/>
      <c r="AA212" s="26"/>
      <c r="AB212" s="28"/>
      <c r="AC212" s="25"/>
      <c r="AD212" s="26"/>
    </row>
    <row r="213">
      <c r="A213" s="22" t="str">
        <f t="shared" si="1"/>
        <v>TC0202</v>
      </c>
      <c r="B213" s="23"/>
      <c r="C213" s="5"/>
      <c r="D213" s="24"/>
      <c r="E213" s="25"/>
      <c r="F213" s="26"/>
      <c r="G213" s="27"/>
      <c r="H213" s="5"/>
      <c r="I213" s="27"/>
      <c r="J213" s="5"/>
      <c r="K213" s="28"/>
      <c r="L213" s="26"/>
      <c r="M213" s="24"/>
      <c r="N213" s="25"/>
      <c r="O213" s="26"/>
      <c r="P213" s="28"/>
      <c r="Q213" s="26"/>
      <c r="R213" s="28"/>
      <c r="S213" s="25"/>
      <c r="T213" s="26"/>
      <c r="U213" s="28"/>
      <c r="V213" s="25"/>
      <c r="W213" s="26"/>
      <c r="X213" s="29"/>
      <c r="Y213" s="26"/>
      <c r="Z213" s="29"/>
      <c r="AA213" s="26"/>
      <c r="AB213" s="28"/>
      <c r="AC213" s="25"/>
      <c r="AD213" s="26"/>
    </row>
    <row r="214">
      <c r="A214" s="22" t="str">
        <f t="shared" si="1"/>
        <v>TC0203</v>
      </c>
      <c r="B214" s="23"/>
      <c r="C214" s="5"/>
      <c r="D214" s="24"/>
      <c r="E214" s="25"/>
      <c r="F214" s="26"/>
      <c r="G214" s="27"/>
      <c r="H214" s="5"/>
      <c r="I214" s="27"/>
      <c r="J214" s="5"/>
      <c r="K214" s="28"/>
      <c r="L214" s="26"/>
      <c r="M214" s="24"/>
      <c r="N214" s="25"/>
      <c r="O214" s="26"/>
      <c r="P214" s="28"/>
      <c r="Q214" s="26"/>
      <c r="R214" s="28"/>
      <c r="S214" s="25"/>
      <c r="T214" s="26"/>
      <c r="U214" s="28"/>
      <c r="V214" s="25"/>
      <c r="W214" s="26"/>
      <c r="X214" s="29"/>
      <c r="Y214" s="26"/>
      <c r="Z214" s="29"/>
      <c r="AA214" s="26"/>
      <c r="AB214" s="28"/>
      <c r="AC214" s="25"/>
      <c r="AD214" s="26"/>
    </row>
    <row r="215">
      <c r="A215" s="22" t="str">
        <f t="shared" si="1"/>
        <v>TC0204</v>
      </c>
      <c r="B215" s="23"/>
      <c r="C215" s="5"/>
      <c r="D215" s="24"/>
      <c r="E215" s="25"/>
      <c r="F215" s="26"/>
      <c r="G215" s="27"/>
      <c r="H215" s="5"/>
      <c r="I215" s="27"/>
      <c r="J215" s="5"/>
      <c r="K215" s="28"/>
      <c r="L215" s="26"/>
      <c r="M215" s="24"/>
      <c r="N215" s="25"/>
      <c r="O215" s="26"/>
      <c r="P215" s="28"/>
      <c r="Q215" s="26"/>
      <c r="R215" s="28"/>
      <c r="S215" s="25"/>
      <c r="T215" s="26"/>
      <c r="U215" s="28"/>
      <c r="V215" s="25"/>
      <c r="W215" s="26"/>
      <c r="X215" s="29"/>
      <c r="Y215" s="26"/>
      <c r="Z215" s="29"/>
      <c r="AA215" s="26"/>
      <c r="AB215" s="28"/>
      <c r="AC215" s="25"/>
      <c r="AD215" s="26"/>
    </row>
    <row r="216">
      <c r="A216" s="22" t="str">
        <f t="shared" si="1"/>
        <v>TC0205</v>
      </c>
      <c r="B216" s="23"/>
      <c r="C216" s="5"/>
      <c r="D216" s="24"/>
      <c r="E216" s="25"/>
      <c r="F216" s="26"/>
      <c r="G216" s="27"/>
      <c r="H216" s="5"/>
      <c r="I216" s="27"/>
      <c r="J216" s="5"/>
      <c r="K216" s="28"/>
      <c r="L216" s="26"/>
      <c r="M216" s="24"/>
      <c r="N216" s="25"/>
      <c r="O216" s="26"/>
      <c r="P216" s="28"/>
      <c r="Q216" s="26"/>
      <c r="R216" s="28"/>
      <c r="S216" s="25"/>
      <c r="T216" s="26"/>
      <c r="U216" s="28"/>
      <c r="V216" s="25"/>
      <c r="W216" s="26"/>
      <c r="X216" s="29"/>
      <c r="Y216" s="26"/>
      <c r="Z216" s="29"/>
      <c r="AA216" s="26"/>
      <c r="AB216" s="28"/>
      <c r="AC216" s="25"/>
      <c r="AD216" s="26"/>
    </row>
    <row r="217">
      <c r="A217" s="22" t="str">
        <f t="shared" si="1"/>
        <v>TC0206</v>
      </c>
      <c r="B217" s="23"/>
      <c r="C217" s="5"/>
      <c r="D217" s="24"/>
      <c r="E217" s="25"/>
      <c r="F217" s="26"/>
      <c r="G217" s="27"/>
      <c r="H217" s="5"/>
      <c r="I217" s="27"/>
      <c r="J217" s="5"/>
      <c r="K217" s="28"/>
      <c r="L217" s="26"/>
      <c r="M217" s="24"/>
      <c r="N217" s="25"/>
      <c r="O217" s="26"/>
      <c r="P217" s="28"/>
      <c r="Q217" s="26"/>
      <c r="R217" s="28"/>
      <c r="S217" s="25"/>
      <c r="T217" s="26"/>
      <c r="U217" s="28"/>
      <c r="V217" s="25"/>
      <c r="W217" s="26"/>
      <c r="X217" s="29"/>
      <c r="Y217" s="26"/>
      <c r="Z217" s="29"/>
      <c r="AA217" s="26"/>
      <c r="AB217" s="28"/>
      <c r="AC217" s="25"/>
      <c r="AD217" s="26"/>
    </row>
    <row r="218">
      <c r="A218" s="22" t="str">
        <f t="shared" si="1"/>
        <v>TC0207</v>
      </c>
      <c r="B218" s="23"/>
      <c r="C218" s="5"/>
      <c r="D218" s="24"/>
      <c r="E218" s="25"/>
      <c r="F218" s="26"/>
      <c r="G218" s="27"/>
      <c r="H218" s="5"/>
      <c r="I218" s="27"/>
      <c r="J218" s="5"/>
      <c r="K218" s="28"/>
      <c r="L218" s="26"/>
      <c r="M218" s="24"/>
      <c r="N218" s="25"/>
      <c r="O218" s="26"/>
      <c r="P218" s="28"/>
      <c r="Q218" s="26"/>
      <c r="R218" s="28"/>
      <c r="S218" s="25"/>
      <c r="T218" s="26"/>
      <c r="U218" s="28"/>
      <c r="V218" s="25"/>
      <c r="W218" s="26"/>
      <c r="X218" s="29"/>
      <c r="Y218" s="26"/>
      <c r="Z218" s="29"/>
      <c r="AA218" s="26"/>
      <c r="AB218" s="28"/>
      <c r="AC218" s="25"/>
      <c r="AD218" s="26"/>
    </row>
    <row r="219">
      <c r="A219" s="22" t="str">
        <f t="shared" si="1"/>
        <v>TC0208</v>
      </c>
      <c r="B219" s="23"/>
      <c r="C219" s="5"/>
      <c r="D219" s="24"/>
      <c r="E219" s="25"/>
      <c r="F219" s="26"/>
      <c r="G219" s="27"/>
      <c r="H219" s="5"/>
      <c r="I219" s="27"/>
      <c r="J219" s="5"/>
      <c r="K219" s="28"/>
      <c r="L219" s="26"/>
      <c r="M219" s="24"/>
      <c r="N219" s="25"/>
      <c r="O219" s="26"/>
      <c r="P219" s="28"/>
      <c r="Q219" s="26"/>
      <c r="R219" s="28"/>
      <c r="S219" s="25"/>
      <c r="T219" s="26"/>
      <c r="U219" s="28"/>
      <c r="V219" s="25"/>
      <c r="W219" s="26"/>
      <c r="X219" s="29"/>
      <c r="Y219" s="26"/>
      <c r="Z219" s="29"/>
      <c r="AA219" s="26"/>
      <c r="AB219" s="28"/>
      <c r="AC219" s="25"/>
      <c r="AD219" s="26"/>
    </row>
    <row r="220">
      <c r="A220" s="22" t="str">
        <f t="shared" si="1"/>
        <v>TC0209</v>
      </c>
      <c r="B220" s="23"/>
      <c r="C220" s="5"/>
      <c r="D220" s="24"/>
      <c r="E220" s="25"/>
      <c r="F220" s="26"/>
      <c r="G220" s="27"/>
      <c r="H220" s="5"/>
      <c r="I220" s="27"/>
      <c r="J220" s="5"/>
      <c r="K220" s="28"/>
      <c r="L220" s="26"/>
      <c r="M220" s="24"/>
      <c r="N220" s="25"/>
      <c r="O220" s="26"/>
      <c r="P220" s="28"/>
      <c r="Q220" s="26"/>
      <c r="R220" s="28"/>
      <c r="S220" s="25"/>
      <c r="T220" s="26"/>
      <c r="U220" s="28"/>
      <c r="V220" s="25"/>
      <c r="W220" s="26"/>
      <c r="X220" s="29"/>
      <c r="Y220" s="26"/>
      <c r="Z220" s="29"/>
      <c r="AA220" s="26"/>
      <c r="AB220" s="28"/>
      <c r="AC220" s="25"/>
      <c r="AD220" s="26"/>
    </row>
    <row r="221">
      <c r="A221" s="22" t="str">
        <f t="shared" si="1"/>
        <v>TC0210</v>
      </c>
      <c r="B221" s="23"/>
      <c r="C221" s="5"/>
      <c r="D221" s="24"/>
      <c r="E221" s="25"/>
      <c r="F221" s="26"/>
      <c r="G221" s="27"/>
      <c r="H221" s="5"/>
      <c r="I221" s="27"/>
      <c r="J221" s="5"/>
      <c r="K221" s="28"/>
      <c r="L221" s="26"/>
      <c r="M221" s="24"/>
      <c r="N221" s="25"/>
      <c r="O221" s="26"/>
      <c r="P221" s="28"/>
      <c r="Q221" s="26"/>
      <c r="R221" s="28"/>
      <c r="S221" s="25"/>
      <c r="T221" s="26"/>
      <c r="U221" s="28"/>
      <c r="V221" s="25"/>
      <c r="W221" s="26"/>
      <c r="X221" s="29"/>
      <c r="Y221" s="26"/>
      <c r="Z221" s="29"/>
      <c r="AA221" s="26"/>
      <c r="AB221" s="28"/>
      <c r="AC221" s="25"/>
      <c r="AD221" s="26"/>
    </row>
    <row r="222">
      <c r="A222" s="22" t="str">
        <f t="shared" si="1"/>
        <v>TC0211</v>
      </c>
      <c r="B222" s="23"/>
      <c r="C222" s="5"/>
      <c r="D222" s="24"/>
      <c r="E222" s="25"/>
      <c r="F222" s="26"/>
      <c r="G222" s="27"/>
      <c r="H222" s="5"/>
      <c r="I222" s="27"/>
      <c r="J222" s="5"/>
      <c r="K222" s="28"/>
      <c r="L222" s="26"/>
      <c r="M222" s="24"/>
      <c r="N222" s="25"/>
      <c r="O222" s="26"/>
      <c r="P222" s="28"/>
      <c r="Q222" s="26"/>
      <c r="R222" s="28"/>
      <c r="S222" s="25"/>
      <c r="T222" s="26"/>
      <c r="U222" s="28"/>
      <c r="V222" s="25"/>
      <c r="W222" s="26"/>
      <c r="X222" s="29"/>
      <c r="Y222" s="26"/>
      <c r="Z222" s="29"/>
      <c r="AA222" s="26"/>
      <c r="AB222" s="28"/>
      <c r="AC222" s="25"/>
      <c r="AD222" s="26"/>
    </row>
    <row r="223">
      <c r="A223" s="22" t="str">
        <f t="shared" si="1"/>
        <v>TC0212</v>
      </c>
      <c r="B223" s="23"/>
      <c r="C223" s="5"/>
      <c r="D223" s="24"/>
      <c r="E223" s="25"/>
      <c r="F223" s="26"/>
      <c r="G223" s="27"/>
      <c r="H223" s="5"/>
      <c r="I223" s="27"/>
      <c r="J223" s="5"/>
      <c r="K223" s="28"/>
      <c r="L223" s="26"/>
      <c r="M223" s="24"/>
      <c r="N223" s="25"/>
      <c r="O223" s="26"/>
      <c r="P223" s="28"/>
      <c r="Q223" s="26"/>
      <c r="R223" s="28"/>
      <c r="S223" s="25"/>
      <c r="T223" s="26"/>
      <c r="U223" s="28"/>
      <c r="V223" s="25"/>
      <c r="W223" s="26"/>
      <c r="X223" s="29"/>
      <c r="Y223" s="26"/>
      <c r="Z223" s="29"/>
      <c r="AA223" s="26"/>
      <c r="AB223" s="28"/>
      <c r="AC223" s="25"/>
      <c r="AD223" s="26"/>
    </row>
    <row r="224">
      <c r="A224" s="22" t="str">
        <f t="shared" si="1"/>
        <v>TC0213</v>
      </c>
      <c r="B224" s="23"/>
      <c r="C224" s="5"/>
      <c r="D224" s="24"/>
      <c r="E224" s="25"/>
      <c r="F224" s="26"/>
      <c r="G224" s="27"/>
      <c r="H224" s="5"/>
      <c r="I224" s="27"/>
      <c r="J224" s="5"/>
      <c r="K224" s="28"/>
      <c r="L224" s="26"/>
      <c r="M224" s="24"/>
      <c r="N224" s="25"/>
      <c r="O224" s="26"/>
      <c r="P224" s="28"/>
      <c r="Q224" s="26"/>
      <c r="R224" s="28"/>
      <c r="S224" s="25"/>
      <c r="T224" s="26"/>
      <c r="U224" s="28"/>
      <c r="V224" s="25"/>
      <c r="W224" s="26"/>
      <c r="X224" s="29"/>
      <c r="Y224" s="26"/>
      <c r="Z224" s="29"/>
      <c r="AA224" s="26"/>
      <c r="AB224" s="28"/>
      <c r="AC224" s="25"/>
      <c r="AD224" s="26"/>
    </row>
    <row r="225">
      <c r="A225" s="22" t="str">
        <f t="shared" si="1"/>
        <v>TC0214</v>
      </c>
      <c r="B225" s="23"/>
      <c r="C225" s="5"/>
      <c r="D225" s="24"/>
      <c r="E225" s="25"/>
      <c r="F225" s="26"/>
      <c r="G225" s="27"/>
      <c r="H225" s="5"/>
      <c r="I225" s="27"/>
      <c r="J225" s="5"/>
      <c r="K225" s="28"/>
      <c r="L225" s="26"/>
      <c r="M225" s="24"/>
      <c r="N225" s="25"/>
      <c r="O225" s="26"/>
      <c r="P225" s="28"/>
      <c r="Q225" s="26"/>
      <c r="R225" s="28"/>
      <c r="S225" s="25"/>
      <c r="T225" s="26"/>
      <c r="U225" s="28"/>
      <c r="V225" s="25"/>
      <c r="W225" s="26"/>
      <c r="X225" s="29"/>
      <c r="Y225" s="26"/>
      <c r="Z225" s="29"/>
      <c r="AA225" s="26"/>
      <c r="AB225" s="28"/>
      <c r="AC225" s="25"/>
      <c r="AD225" s="26"/>
    </row>
    <row r="226">
      <c r="A226" s="22" t="str">
        <f t="shared" si="1"/>
        <v>TC0215</v>
      </c>
      <c r="B226" s="23"/>
      <c r="C226" s="5"/>
      <c r="D226" s="24"/>
      <c r="E226" s="25"/>
      <c r="F226" s="26"/>
      <c r="G226" s="27"/>
      <c r="H226" s="5"/>
      <c r="I226" s="27"/>
      <c r="J226" s="5"/>
      <c r="K226" s="28"/>
      <c r="L226" s="26"/>
      <c r="M226" s="24"/>
      <c r="N226" s="25"/>
      <c r="O226" s="26"/>
      <c r="P226" s="28"/>
      <c r="Q226" s="26"/>
      <c r="R226" s="28"/>
      <c r="S226" s="25"/>
      <c r="T226" s="26"/>
      <c r="U226" s="28"/>
      <c r="V226" s="25"/>
      <c r="W226" s="26"/>
      <c r="X226" s="29"/>
      <c r="Y226" s="26"/>
      <c r="Z226" s="29"/>
      <c r="AA226" s="26"/>
      <c r="AB226" s="28"/>
      <c r="AC226" s="25"/>
      <c r="AD226" s="26"/>
    </row>
    <row r="227">
      <c r="A227" s="22" t="str">
        <f t="shared" si="1"/>
        <v>TC0216</v>
      </c>
      <c r="B227" s="23"/>
      <c r="C227" s="5"/>
      <c r="D227" s="24"/>
      <c r="E227" s="25"/>
      <c r="F227" s="26"/>
      <c r="G227" s="27"/>
      <c r="H227" s="5"/>
      <c r="I227" s="27"/>
      <c r="J227" s="5"/>
      <c r="K227" s="28"/>
      <c r="L227" s="26"/>
      <c r="M227" s="24"/>
      <c r="N227" s="25"/>
      <c r="O227" s="26"/>
      <c r="P227" s="28"/>
      <c r="Q227" s="26"/>
      <c r="R227" s="28"/>
      <c r="S227" s="25"/>
      <c r="T227" s="26"/>
      <c r="U227" s="28"/>
      <c r="V227" s="25"/>
      <c r="W227" s="26"/>
      <c r="X227" s="29"/>
      <c r="Y227" s="26"/>
      <c r="Z227" s="29"/>
      <c r="AA227" s="26"/>
      <c r="AB227" s="28"/>
      <c r="AC227" s="25"/>
      <c r="AD227" s="26"/>
    </row>
    <row r="228">
      <c r="A228" s="22" t="str">
        <f t="shared" si="1"/>
        <v>TC0217</v>
      </c>
      <c r="B228" s="23"/>
      <c r="C228" s="5"/>
      <c r="D228" s="24"/>
      <c r="E228" s="25"/>
      <c r="F228" s="26"/>
      <c r="G228" s="27"/>
      <c r="H228" s="5"/>
      <c r="I228" s="27"/>
      <c r="J228" s="5"/>
      <c r="K228" s="28"/>
      <c r="L228" s="26"/>
      <c r="M228" s="24"/>
      <c r="N228" s="25"/>
      <c r="O228" s="26"/>
      <c r="P228" s="28"/>
      <c r="Q228" s="26"/>
      <c r="R228" s="28"/>
      <c r="S228" s="25"/>
      <c r="T228" s="26"/>
      <c r="U228" s="28"/>
      <c r="V228" s="25"/>
      <c r="W228" s="26"/>
      <c r="X228" s="29"/>
      <c r="Y228" s="26"/>
      <c r="Z228" s="29"/>
      <c r="AA228" s="26"/>
      <c r="AB228" s="28"/>
      <c r="AC228" s="25"/>
      <c r="AD228" s="26"/>
    </row>
    <row r="229">
      <c r="A229" s="22" t="str">
        <f t="shared" si="1"/>
        <v>TC0218</v>
      </c>
      <c r="B229" s="23"/>
      <c r="C229" s="5"/>
      <c r="D229" s="24"/>
      <c r="E229" s="25"/>
      <c r="F229" s="26"/>
      <c r="G229" s="27"/>
      <c r="H229" s="5"/>
      <c r="I229" s="27"/>
      <c r="J229" s="5"/>
      <c r="K229" s="28"/>
      <c r="L229" s="26"/>
      <c r="M229" s="24"/>
      <c r="N229" s="25"/>
      <c r="O229" s="26"/>
      <c r="P229" s="28"/>
      <c r="Q229" s="26"/>
      <c r="R229" s="28"/>
      <c r="S229" s="25"/>
      <c r="T229" s="26"/>
      <c r="U229" s="28"/>
      <c r="V229" s="25"/>
      <c r="W229" s="26"/>
      <c r="X229" s="29"/>
      <c r="Y229" s="26"/>
      <c r="Z229" s="29"/>
      <c r="AA229" s="26"/>
      <c r="AB229" s="28"/>
      <c r="AC229" s="25"/>
      <c r="AD229" s="26"/>
    </row>
    <row r="230">
      <c r="A230" s="22" t="str">
        <f t="shared" si="1"/>
        <v>TC0219</v>
      </c>
      <c r="B230" s="23"/>
      <c r="C230" s="5"/>
      <c r="D230" s="24"/>
      <c r="E230" s="25"/>
      <c r="F230" s="26"/>
      <c r="G230" s="27"/>
      <c r="H230" s="5"/>
      <c r="I230" s="27"/>
      <c r="J230" s="5"/>
      <c r="K230" s="28"/>
      <c r="L230" s="26"/>
      <c r="M230" s="24"/>
      <c r="N230" s="25"/>
      <c r="O230" s="26"/>
      <c r="P230" s="28"/>
      <c r="Q230" s="26"/>
      <c r="R230" s="28"/>
      <c r="S230" s="25"/>
      <c r="T230" s="26"/>
      <c r="U230" s="28"/>
      <c r="V230" s="25"/>
      <c r="W230" s="26"/>
      <c r="X230" s="29"/>
      <c r="Y230" s="26"/>
      <c r="Z230" s="29"/>
      <c r="AA230" s="26"/>
      <c r="AB230" s="28"/>
      <c r="AC230" s="25"/>
      <c r="AD230" s="26"/>
    </row>
    <row r="231">
      <c r="A231" s="22" t="str">
        <f t="shared" si="1"/>
        <v>TC0220</v>
      </c>
      <c r="B231" s="23"/>
      <c r="C231" s="5"/>
      <c r="D231" s="24"/>
      <c r="E231" s="25"/>
      <c r="F231" s="26"/>
      <c r="G231" s="27"/>
      <c r="H231" s="5"/>
      <c r="I231" s="27"/>
      <c r="J231" s="5"/>
      <c r="K231" s="28"/>
      <c r="L231" s="26"/>
      <c r="M231" s="24"/>
      <c r="N231" s="25"/>
      <c r="O231" s="26"/>
      <c r="P231" s="28"/>
      <c r="Q231" s="26"/>
      <c r="R231" s="28"/>
      <c r="S231" s="25"/>
      <c r="T231" s="26"/>
      <c r="U231" s="28"/>
      <c r="V231" s="25"/>
      <c r="W231" s="26"/>
      <c r="X231" s="29"/>
      <c r="Y231" s="26"/>
      <c r="Z231" s="29"/>
      <c r="AA231" s="26"/>
      <c r="AB231" s="28"/>
      <c r="AC231" s="25"/>
      <c r="AD231" s="26"/>
    </row>
    <row r="232">
      <c r="A232" s="22" t="str">
        <f t="shared" si="1"/>
        <v>TC0221</v>
      </c>
      <c r="B232" s="23"/>
      <c r="C232" s="5"/>
      <c r="D232" s="24"/>
      <c r="E232" s="25"/>
      <c r="F232" s="26"/>
      <c r="G232" s="27"/>
      <c r="H232" s="5"/>
      <c r="I232" s="27"/>
      <c r="J232" s="5"/>
      <c r="K232" s="28"/>
      <c r="L232" s="26"/>
      <c r="M232" s="24"/>
      <c r="N232" s="25"/>
      <c r="O232" s="26"/>
      <c r="P232" s="28"/>
      <c r="Q232" s="26"/>
      <c r="R232" s="28"/>
      <c r="S232" s="25"/>
      <c r="T232" s="26"/>
      <c r="U232" s="28"/>
      <c r="V232" s="25"/>
      <c r="W232" s="26"/>
      <c r="X232" s="29"/>
      <c r="Y232" s="26"/>
      <c r="Z232" s="29"/>
      <c r="AA232" s="26"/>
      <c r="AB232" s="28"/>
      <c r="AC232" s="25"/>
      <c r="AD232" s="26"/>
    </row>
    <row r="233">
      <c r="A233" s="22" t="str">
        <f t="shared" si="1"/>
        <v>TC0222</v>
      </c>
      <c r="B233" s="23"/>
      <c r="C233" s="5"/>
      <c r="D233" s="24"/>
      <c r="E233" s="25"/>
      <c r="F233" s="26"/>
      <c r="G233" s="27"/>
      <c r="H233" s="5"/>
      <c r="I233" s="27"/>
      <c r="J233" s="5"/>
      <c r="K233" s="28"/>
      <c r="L233" s="26"/>
      <c r="M233" s="24"/>
      <c r="N233" s="25"/>
      <c r="O233" s="26"/>
      <c r="P233" s="28"/>
      <c r="Q233" s="26"/>
      <c r="R233" s="28"/>
      <c r="S233" s="25"/>
      <c r="T233" s="26"/>
      <c r="U233" s="28"/>
      <c r="V233" s="25"/>
      <c r="W233" s="26"/>
      <c r="X233" s="29"/>
      <c r="Y233" s="26"/>
      <c r="Z233" s="29"/>
      <c r="AA233" s="26"/>
      <c r="AB233" s="28"/>
      <c r="AC233" s="25"/>
      <c r="AD233" s="26"/>
    </row>
    <row r="234">
      <c r="A234" s="22" t="str">
        <f t="shared" si="1"/>
        <v>TC0223</v>
      </c>
      <c r="B234" s="23"/>
      <c r="C234" s="5"/>
      <c r="D234" s="24"/>
      <c r="E234" s="25"/>
      <c r="F234" s="26"/>
      <c r="G234" s="27"/>
      <c r="H234" s="5"/>
      <c r="I234" s="27"/>
      <c r="J234" s="5"/>
      <c r="K234" s="28"/>
      <c r="L234" s="26"/>
      <c r="M234" s="24"/>
      <c r="N234" s="25"/>
      <c r="O234" s="26"/>
      <c r="P234" s="28"/>
      <c r="Q234" s="26"/>
      <c r="R234" s="28"/>
      <c r="S234" s="25"/>
      <c r="T234" s="26"/>
      <c r="U234" s="28"/>
      <c r="V234" s="25"/>
      <c r="W234" s="26"/>
      <c r="X234" s="29"/>
      <c r="Y234" s="26"/>
      <c r="Z234" s="29"/>
      <c r="AA234" s="26"/>
      <c r="AB234" s="28"/>
      <c r="AC234" s="25"/>
      <c r="AD234" s="26"/>
    </row>
    <row r="235">
      <c r="A235" s="22" t="str">
        <f t="shared" si="1"/>
        <v>TC0224</v>
      </c>
      <c r="B235" s="23"/>
      <c r="C235" s="5"/>
      <c r="D235" s="24"/>
      <c r="E235" s="25"/>
      <c r="F235" s="26"/>
      <c r="G235" s="27"/>
      <c r="H235" s="5"/>
      <c r="I235" s="27"/>
      <c r="J235" s="5"/>
      <c r="K235" s="28"/>
      <c r="L235" s="26"/>
      <c r="M235" s="24"/>
      <c r="N235" s="25"/>
      <c r="O235" s="26"/>
      <c r="P235" s="28"/>
      <c r="Q235" s="26"/>
      <c r="R235" s="28"/>
      <c r="S235" s="25"/>
      <c r="T235" s="26"/>
      <c r="U235" s="28"/>
      <c r="V235" s="25"/>
      <c r="W235" s="26"/>
      <c r="X235" s="29"/>
      <c r="Y235" s="26"/>
      <c r="Z235" s="29"/>
      <c r="AA235" s="26"/>
      <c r="AB235" s="28"/>
      <c r="AC235" s="25"/>
      <c r="AD235" s="26"/>
    </row>
    <row r="236">
      <c r="A236" s="22" t="str">
        <f t="shared" si="1"/>
        <v>TC0225</v>
      </c>
      <c r="B236" s="23"/>
      <c r="C236" s="5"/>
      <c r="D236" s="24"/>
      <c r="E236" s="25"/>
      <c r="F236" s="26"/>
      <c r="G236" s="27"/>
      <c r="H236" s="5"/>
      <c r="I236" s="27"/>
      <c r="J236" s="5"/>
      <c r="K236" s="28"/>
      <c r="L236" s="26"/>
      <c r="M236" s="24"/>
      <c r="N236" s="25"/>
      <c r="O236" s="26"/>
      <c r="P236" s="28"/>
      <c r="Q236" s="26"/>
      <c r="R236" s="28"/>
      <c r="S236" s="25"/>
      <c r="T236" s="26"/>
      <c r="U236" s="28"/>
      <c r="V236" s="25"/>
      <c r="W236" s="26"/>
      <c r="X236" s="29"/>
      <c r="Y236" s="26"/>
      <c r="Z236" s="29"/>
      <c r="AA236" s="26"/>
      <c r="AB236" s="28"/>
      <c r="AC236" s="25"/>
      <c r="AD236" s="26"/>
    </row>
    <row r="237">
      <c r="A237" s="22" t="str">
        <f t="shared" si="1"/>
        <v>TC0226</v>
      </c>
      <c r="B237" s="23"/>
      <c r="C237" s="5"/>
      <c r="D237" s="24"/>
      <c r="E237" s="25"/>
      <c r="F237" s="26"/>
      <c r="G237" s="27"/>
      <c r="H237" s="5"/>
      <c r="I237" s="27"/>
      <c r="J237" s="5"/>
      <c r="K237" s="28"/>
      <c r="L237" s="26"/>
      <c r="M237" s="24"/>
      <c r="N237" s="25"/>
      <c r="O237" s="26"/>
      <c r="P237" s="28"/>
      <c r="Q237" s="26"/>
      <c r="R237" s="28"/>
      <c r="S237" s="25"/>
      <c r="T237" s="26"/>
      <c r="U237" s="28"/>
      <c r="V237" s="25"/>
      <c r="W237" s="26"/>
      <c r="X237" s="29"/>
      <c r="Y237" s="26"/>
      <c r="Z237" s="29"/>
      <c r="AA237" s="26"/>
      <c r="AB237" s="28"/>
      <c r="AC237" s="25"/>
      <c r="AD237" s="26"/>
    </row>
    <row r="238">
      <c r="A238" s="22" t="str">
        <f t="shared" si="1"/>
        <v>TC0227</v>
      </c>
      <c r="B238" s="23"/>
      <c r="C238" s="5"/>
      <c r="D238" s="24"/>
      <c r="E238" s="25"/>
      <c r="F238" s="26"/>
      <c r="G238" s="27"/>
      <c r="H238" s="5"/>
      <c r="I238" s="27"/>
      <c r="J238" s="5"/>
      <c r="K238" s="28"/>
      <c r="L238" s="26"/>
      <c r="M238" s="24"/>
      <c r="N238" s="25"/>
      <c r="O238" s="26"/>
      <c r="P238" s="28"/>
      <c r="Q238" s="26"/>
      <c r="R238" s="28"/>
      <c r="S238" s="25"/>
      <c r="T238" s="26"/>
      <c r="U238" s="28"/>
      <c r="V238" s="25"/>
      <c r="W238" s="26"/>
      <c r="X238" s="29"/>
      <c r="Y238" s="26"/>
      <c r="Z238" s="29"/>
      <c r="AA238" s="26"/>
      <c r="AB238" s="28"/>
      <c r="AC238" s="25"/>
      <c r="AD238" s="26"/>
    </row>
  </sheetData>
  <mergeCells count="2782">
    <mergeCell ref="H8:I8"/>
    <mergeCell ref="H9:I9"/>
    <mergeCell ref="J9:K9"/>
    <mergeCell ref="B7:C7"/>
    <mergeCell ref="D7:F7"/>
    <mergeCell ref="H7:I7"/>
    <mergeCell ref="J7:K7"/>
    <mergeCell ref="B8:C8"/>
    <mergeCell ref="D8:F8"/>
    <mergeCell ref="J8:K8"/>
    <mergeCell ref="R18:T18"/>
    <mergeCell ref="U18:W18"/>
    <mergeCell ref="B18:C18"/>
    <mergeCell ref="D18:F18"/>
    <mergeCell ref="G18:H18"/>
    <mergeCell ref="I18:J18"/>
    <mergeCell ref="K18:L18"/>
    <mergeCell ref="M18:O18"/>
    <mergeCell ref="P18:Q18"/>
    <mergeCell ref="R19:T19"/>
    <mergeCell ref="U19:W19"/>
    <mergeCell ref="B19:C19"/>
    <mergeCell ref="D19:F19"/>
    <mergeCell ref="G19:H19"/>
    <mergeCell ref="I19:J19"/>
    <mergeCell ref="K19:L19"/>
    <mergeCell ref="M19:O19"/>
    <mergeCell ref="P19:Q19"/>
    <mergeCell ref="R20:T20"/>
    <mergeCell ref="U20:W20"/>
    <mergeCell ref="B20:C20"/>
    <mergeCell ref="D20:F20"/>
    <mergeCell ref="G20:H20"/>
    <mergeCell ref="I20:J20"/>
    <mergeCell ref="K20:L20"/>
    <mergeCell ref="M20:O20"/>
    <mergeCell ref="P20:Q20"/>
    <mergeCell ref="R21:T21"/>
    <mergeCell ref="U21:W21"/>
    <mergeCell ref="B21:C21"/>
    <mergeCell ref="D21:F21"/>
    <mergeCell ref="G21:H21"/>
    <mergeCell ref="I21:J21"/>
    <mergeCell ref="K21:L21"/>
    <mergeCell ref="M21:O21"/>
    <mergeCell ref="P21:Q21"/>
    <mergeCell ref="R22:T22"/>
    <mergeCell ref="U22:W22"/>
    <mergeCell ref="B22:C22"/>
    <mergeCell ref="D22:F22"/>
    <mergeCell ref="G22:H22"/>
    <mergeCell ref="I22:J22"/>
    <mergeCell ref="K22:L22"/>
    <mergeCell ref="M22:O22"/>
    <mergeCell ref="P22:Q22"/>
    <mergeCell ref="B23:C23"/>
    <mergeCell ref="D23:F23"/>
    <mergeCell ref="G23:H23"/>
    <mergeCell ref="I23:J23"/>
    <mergeCell ref="K23:L23"/>
    <mergeCell ref="M23:O23"/>
    <mergeCell ref="P23:Q23"/>
    <mergeCell ref="R23:T23"/>
    <mergeCell ref="U23:W23"/>
    <mergeCell ref="U24:W24"/>
    <mergeCell ref="U25:W25"/>
    <mergeCell ref="U26:W26"/>
    <mergeCell ref="U27:W27"/>
    <mergeCell ref="U28:W28"/>
    <mergeCell ref="U29:W29"/>
    <mergeCell ref="U30:W30"/>
    <mergeCell ref="U31:W31"/>
    <mergeCell ref="U32:W32"/>
    <mergeCell ref="U33:W33"/>
    <mergeCell ref="U34:W34"/>
    <mergeCell ref="U35:W35"/>
    <mergeCell ref="U36:W36"/>
    <mergeCell ref="U37:W37"/>
    <mergeCell ref="U38:W38"/>
    <mergeCell ref="U39:W39"/>
    <mergeCell ref="U40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U51:W51"/>
    <mergeCell ref="U52:W52"/>
    <mergeCell ref="U53:W53"/>
    <mergeCell ref="U54:W54"/>
    <mergeCell ref="U55:W55"/>
    <mergeCell ref="U56:W56"/>
    <mergeCell ref="U64:W64"/>
    <mergeCell ref="U65:W65"/>
    <mergeCell ref="U57:W57"/>
    <mergeCell ref="U58:W58"/>
    <mergeCell ref="U59:W59"/>
    <mergeCell ref="U60:W60"/>
    <mergeCell ref="U61:W61"/>
    <mergeCell ref="U62:W62"/>
    <mergeCell ref="U63:W63"/>
    <mergeCell ref="D54:F54"/>
    <mergeCell ref="G54:H54"/>
    <mergeCell ref="I54:J54"/>
    <mergeCell ref="K54:L54"/>
    <mergeCell ref="M54:O54"/>
    <mergeCell ref="P54:Q54"/>
    <mergeCell ref="R54:T54"/>
    <mergeCell ref="B54:C54"/>
    <mergeCell ref="B55:C55"/>
    <mergeCell ref="D55:F55"/>
    <mergeCell ref="G55:H55"/>
    <mergeCell ref="I55:J55"/>
    <mergeCell ref="K55:L55"/>
    <mergeCell ref="M55:O55"/>
    <mergeCell ref="P57:Q57"/>
    <mergeCell ref="R57:T57"/>
    <mergeCell ref="B56:C56"/>
    <mergeCell ref="B57:C57"/>
    <mergeCell ref="D57:F57"/>
    <mergeCell ref="G57:H57"/>
    <mergeCell ref="I57:J57"/>
    <mergeCell ref="K57:L57"/>
    <mergeCell ref="M57:O57"/>
    <mergeCell ref="D58:F58"/>
    <mergeCell ref="G58:H58"/>
    <mergeCell ref="I58:J58"/>
    <mergeCell ref="K58:L58"/>
    <mergeCell ref="M58:O58"/>
    <mergeCell ref="P58:Q58"/>
    <mergeCell ref="R58:T58"/>
    <mergeCell ref="B58:C58"/>
    <mergeCell ref="B59:C59"/>
    <mergeCell ref="D59:F59"/>
    <mergeCell ref="G59:H59"/>
    <mergeCell ref="I59:J59"/>
    <mergeCell ref="K59:L59"/>
    <mergeCell ref="M59:O59"/>
    <mergeCell ref="M60:O60"/>
    <mergeCell ref="P60:Q60"/>
    <mergeCell ref="P59:Q59"/>
    <mergeCell ref="R59:T59"/>
    <mergeCell ref="D60:F60"/>
    <mergeCell ref="G60:H60"/>
    <mergeCell ref="I60:J60"/>
    <mergeCell ref="K60:L60"/>
    <mergeCell ref="R60:T60"/>
    <mergeCell ref="P61:Q61"/>
    <mergeCell ref="R61:T61"/>
    <mergeCell ref="B60:C60"/>
    <mergeCell ref="B61:C61"/>
    <mergeCell ref="D61:F61"/>
    <mergeCell ref="G61:H61"/>
    <mergeCell ref="I61:J61"/>
    <mergeCell ref="K61:L61"/>
    <mergeCell ref="M61:O61"/>
    <mergeCell ref="D62:F62"/>
    <mergeCell ref="G62:H62"/>
    <mergeCell ref="I62:J62"/>
    <mergeCell ref="K62:L62"/>
    <mergeCell ref="M62:O62"/>
    <mergeCell ref="P62:Q62"/>
    <mergeCell ref="R62:T62"/>
    <mergeCell ref="B62:C62"/>
    <mergeCell ref="B63:C63"/>
    <mergeCell ref="D63:F63"/>
    <mergeCell ref="G63:H63"/>
    <mergeCell ref="I63:J63"/>
    <mergeCell ref="K63:L63"/>
    <mergeCell ref="M63:O63"/>
    <mergeCell ref="M64:O64"/>
    <mergeCell ref="P64:Q64"/>
    <mergeCell ref="P63:Q63"/>
    <mergeCell ref="R63:T63"/>
    <mergeCell ref="D64:F64"/>
    <mergeCell ref="G64:H64"/>
    <mergeCell ref="I64:J64"/>
    <mergeCell ref="K64:L64"/>
    <mergeCell ref="R64:T64"/>
    <mergeCell ref="J3:K3"/>
    <mergeCell ref="M3:N3"/>
    <mergeCell ref="M4:N4"/>
    <mergeCell ref="O4:P4"/>
    <mergeCell ref="O3:P3"/>
    <mergeCell ref="R3:T3"/>
    <mergeCell ref="R4:T4"/>
    <mergeCell ref="U4:V4"/>
    <mergeCell ref="B2:F2"/>
    <mergeCell ref="H2:K2"/>
    <mergeCell ref="M2:P2"/>
    <mergeCell ref="R2:V2"/>
    <mergeCell ref="D3:F3"/>
    <mergeCell ref="H3:I3"/>
    <mergeCell ref="U3:V3"/>
    <mergeCell ref="H5:I5"/>
    <mergeCell ref="J5:K5"/>
    <mergeCell ref="M5:N5"/>
    <mergeCell ref="O5:P5"/>
    <mergeCell ref="R5:T5"/>
    <mergeCell ref="U5:V5"/>
    <mergeCell ref="B6:C6"/>
    <mergeCell ref="D6:F6"/>
    <mergeCell ref="H6:I6"/>
    <mergeCell ref="J6:K6"/>
    <mergeCell ref="M6:N6"/>
    <mergeCell ref="O6:P6"/>
    <mergeCell ref="R6:T6"/>
    <mergeCell ref="U6:V6"/>
    <mergeCell ref="B3:C3"/>
    <mergeCell ref="B4:C4"/>
    <mergeCell ref="D4:F4"/>
    <mergeCell ref="H4:I4"/>
    <mergeCell ref="J4:K4"/>
    <mergeCell ref="B5:C5"/>
    <mergeCell ref="D5:F5"/>
    <mergeCell ref="P25:Q25"/>
    <mergeCell ref="R25:T25"/>
    <mergeCell ref="D28:F28"/>
    <mergeCell ref="G28:H28"/>
    <mergeCell ref="I28:J28"/>
    <mergeCell ref="K28:L28"/>
    <mergeCell ref="M28:O28"/>
    <mergeCell ref="P28:Q28"/>
    <mergeCell ref="R28:T28"/>
    <mergeCell ref="B28:C28"/>
    <mergeCell ref="B29:C29"/>
    <mergeCell ref="D29:F29"/>
    <mergeCell ref="G29:H29"/>
    <mergeCell ref="I29:J29"/>
    <mergeCell ref="K29:L29"/>
    <mergeCell ref="M29:O29"/>
    <mergeCell ref="D30:F30"/>
    <mergeCell ref="G30:H30"/>
    <mergeCell ref="I30:J30"/>
    <mergeCell ref="K30:L30"/>
    <mergeCell ref="M30:O30"/>
    <mergeCell ref="P30:Q30"/>
    <mergeCell ref="R30:T30"/>
    <mergeCell ref="B30:C30"/>
    <mergeCell ref="B31:C31"/>
    <mergeCell ref="D31:F31"/>
    <mergeCell ref="G31:H31"/>
    <mergeCell ref="I31:J31"/>
    <mergeCell ref="K31:L31"/>
    <mergeCell ref="M31:O31"/>
    <mergeCell ref="M32:O32"/>
    <mergeCell ref="P32:Q32"/>
    <mergeCell ref="P31:Q31"/>
    <mergeCell ref="R31:T31"/>
    <mergeCell ref="D32:F32"/>
    <mergeCell ref="G32:H32"/>
    <mergeCell ref="I32:J32"/>
    <mergeCell ref="K32:L32"/>
    <mergeCell ref="R32:T32"/>
    <mergeCell ref="P33:Q33"/>
    <mergeCell ref="R33:T33"/>
    <mergeCell ref="B32:C32"/>
    <mergeCell ref="B33:C33"/>
    <mergeCell ref="D33:F33"/>
    <mergeCell ref="G33:H33"/>
    <mergeCell ref="I33:J33"/>
    <mergeCell ref="K33:L33"/>
    <mergeCell ref="M33:O33"/>
    <mergeCell ref="D34:F34"/>
    <mergeCell ref="G34:H34"/>
    <mergeCell ref="I34:J34"/>
    <mergeCell ref="K34:L34"/>
    <mergeCell ref="M34:O34"/>
    <mergeCell ref="P34:Q34"/>
    <mergeCell ref="R34:T34"/>
    <mergeCell ref="B34:C34"/>
    <mergeCell ref="B35:C35"/>
    <mergeCell ref="D35:F35"/>
    <mergeCell ref="G35:H35"/>
    <mergeCell ref="I35:J35"/>
    <mergeCell ref="K35:L35"/>
    <mergeCell ref="M35:O35"/>
    <mergeCell ref="M36:O36"/>
    <mergeCell ref="P36:Q36"/>
    <mergeCell ref="P35:Q35"/>
    <mergeCell ref="R35:T35"/>
    <mergeCell ref="D36:F36"/>
    <mergeCell ref="G36:H36"/>
    <mergeCell ref="I36:J36"/>
    <mergeCell ref="K36:L36"/>
    <mergeCell ref="R36:T36"/>
    <mergeCell ref="R11:T11"/>
    <mergeCell ref="U11:W11"/>
    <mergeCell ref="X11:Y11"/>
    <mergeCell ref="Z11:AA11"/>
    <mergeCell ref="AB11:AD11"/>
    <mergeCell ref="AB12:AD12"/>
    <mergeCell ref="AB13:AD13"/>
    <mergeCell ref="AB14:AD14"/>
    <mergeCell ref="B11:C11"/>
    <mergeCell ref="D11:F11"/>
    <mergeCell ref="G11:H11"/>
    <mergeCell ref="I11:J11"/>
    <mergeCell ref="K11:L11"/>
    <mergeCell ref="M11:O11"/>
    <mergeCell ref="P11:Q11"/>
    <mergeCell ref="R12:T12"/>
    <mergeCell ref="U12:W12"/>
    <mergeCell ref="X12:Y12"/>
    <mergeCell ref="Z12:AA12"/>
    <mergeCell ref="B12:C12"/>
    <mergeCell ref="D12:F12"/>
    <mergeCell ref="G12:H12"/>
    <mergeCell ref="I12:J12"/>
    <mergeCell ref="K12:L12"/>
    <mergeCell ref="M12:O12"/>
    <mergeCell ref="P12:Q12"/>
    <mergeCell ref="R13:T13"/>
    <mergeCell ref="U13:W13"/>
    <mergeCell ref="X13:Y13"/>
    <mergeCell ref="Z13:AA13"/>
    <mergeCell ref="B13:C13"/>
    <mergeCell ref="D13:F13"/>
    <mergeCell ref="G13:H13"/>
    <mergeCell ref="I13:J13"/>
    <mergeCell ref="K13:L13"/>
    <mergeCell ref="M13:O13"/>
    <mergeCell ref="P13:Q13"/>
    <mergeCell ref="R14:T14"/>
    <mergeCell ref="U14:W14"/>
    <mergeCell ref="X14:Y14"/>
    <mergeCell ref="Z14:AA14"/>
    <mergeCell ref="X15:Y15"/>
    <mergeCell ref="Z15:AA15"/>
    <mergeCell ref="AB15:AD15"/>
    <mergeCell ref="B14:C14"/>
    <mergeCell ref="D14:F14"/>
    <mergeCell ref="G14:H14"/>
    <mergeCell ref="I14:J14"/>
    <mergeCell ref="K14:L14"/>
    <mergeCell ref="M14:O14"/>
    <mergeCell ref="P14:Q14"/>
    <mergeCell ref="R15:T15"/>
    <mergeCell ref="U15:W15"/>
    <mergeCell ref="X16:Y16"/>
    <mergeCell ref="Z16:AA16"/>
    <mergeCell ref="AB16:AD16"/>
    <mergeCell ref="B15:C15"/>
    <mergeCell ref="D15:F15"/>
    <mergeCell ref="G15:H15"/>
    <mergeCell ref="I15:J15"/>
    <mergeCell ref="K15:L15"/>
    <mergeCell ref="M15:O15"/>
    <mergeCell ref="P15:Q15"/>
    <mergeCell ref="R16:T16"/>
    <mergeCell ref="U16:W16"/>
    <mergeCell ref="X17:Y17"/>
    <mergeCell ref="Z17:AA17"/>
    <mergeCell ref="AB17:AD17"/>
    <mergeCell ref="B16:C16"/>
    <mergeCell ref="D16:F16"/>
    <mergeCell ref="G16:H16"/>
    <mergeCell ref="I16:J16"/>
    <mergeCell ref="K16:L16"/>
    <mergeCell ref="M16:O16"/>
    <mergeCell ref="P16:Q16"/>
    <mergeCell ref="B17:C17"/>
    <mergeCell ref="D17:F17"/>
    <mergeCell ref="G17:H17"/>
    <mergeCell ref="I17:J17"/>
    <mergeCell ref="K17:L17"/>
    <mergeCell ref="M17:O17"/>
    <mergeCell ref="P17:Q17"/>
    <mergeCell ref="R17:T17"/>
    <mergeCell ref="U17:W17"/>
    <mergeCell ref="X18:Y18"/>
    <mergeCell ref="Z18:AA18"/>
    <mergeCell ref="AB18:AD18"/>
    <mergeCell ref="Z19:AA19"/>
    <mergeCell ref="AB19:AD19"/>
    <mergeCell ref="X19:Y19"/>
    <mergeCell ref="X20:Y20"/>
    <mergeCell ref="Z20:AA20"/>
    <mergeCell ref="AB20:AD20"/>
    <mergeCell ref="X21:Y21"/>
    <mergeCell ref="Z21:AA21"/>
    <mergeCell ref="AB21:AD21"/>
    <mergeCell ref="Z24:AA24"/>
    <mergeCell ref="AB24:AD24"/>
    <mergeCell ref="X22:Y22"/>
    <mergeCell ref="Z22:AA22"/>
    <mergeCell ref="AB22:AD22"/>
    <mergeCell ref="X23:Y23"/>
    <mergeCell ref="Z23:AA23"/>
    <mergeCell ref="AB23:AD23"/>
    <mergeCell ref="X24:Y24"/>
    <mergeCell ref="Z27:AA27"/>
    <mergeCell ref="AB27:AD27"/>
    <mergeCell ref="X25:Y25"/>
    <mergeCell ref="Z25:AA25"/>
    <mergeCell ref="AB25:AD25"/>
    <mergeCell ref="X26:Y26"/>
    <mergeCell ref="Z26:AA26"/>
    <mergeCell ref="AB26:AD26"/>
    <mergeCell ref="X27:Y27"/>
    <mergeCell ref="P37:Q37"/>
    <mergeCell ref="R37:T37"/>
    <mergeCell ref="B36:C36"/>
    <mergeCell ref="B37:C37"/>
    <mergeCell ref="D37:F37"/>
    <mergeCell ref="G37:H37"/>
    <mergeCell ref="I37:J37"/>
    <mergeCell ref="K37:L37"/>
    <mergeCell ref="M37:O37"/>
    <mergeCell ref="D38:F38"/>
    <mergeCell ref="G38:H38"/>
    <mergeCell ref="I38:J38"/>
    <mergeCell ref="K38:L38"/>
    <mergeCell ref="M38:O38"/>
    <mergeCell ref="P38:Q38"/>
    <mergeCell ref="R38:T38"/>
    <mergeCell ref="B38:C38"/>
    <mergeCell ref="B39:C39"/>
    <mergeCell ref="D39:F39"/>
    <mergeCell ref="G39:H39"/>
    <mergeCell ref="I39:J39"/>
    <mergeCell ref="K39:L39"/>
    <mergeCell ref="M39:O39"/>
    <mergeCell ref="M40:O40"/>
    <mergeCell ref="P40:Q40"/>
    <mergeCell ref="P39:Q39"/>
    <mergeCell ref="R39:T39"/>
    <mergeCell ref="D40:F40"/>
    <mergeCell ref="G40:H40"/>
    <mergeCell ref="I40:J40"/>
    <mergeCell ref="K40:L40"/>
    <mergeCell ref="R40:T40"/>
    <mergeCell ref="P41:Q41"/>
    <mergeCell ref="R41:T41"/>
    <mergeCell ref="B40:C40"/>
    <mergeCell ref="B41:C41"/>
    <mergeCell ref="D41:F41"/>
    <mergeCell ref="G41:H41"/>
    <mergeCell ref="I41:J41"/>
    <mergeCell ref="K41:L41"/>
    <mergeCell ref="M41:O41"/>
    <mergeCell ref="D42:F42"/>
    <mergeCell ref="G42:H42"/>
    <mergeCell ref="I42:J42"/>
    <mergeCell ref="K42:L42"/>
    <mergeCell ref="M42:O42"/>
    <mergeCell ref="P42:Q42"/>
    <mergeCell ref="R42:T42"/>
    <mergeCell ref="B42:C42"/>
    <mergeCell ref="B43:C43"/>
    <mergeCell ref="D43:F43"/>
    <mergeCell ref="G43:H43"/>
    <mergeCell ref="I43:J43"/>
    <mergeCell ref="K43:L43"/>
    <mergeCell ref="M43:O43"/>
    <mergeCell ref="M44:O44"/>
    <mergeCell ref="P44:Q44"/>
    <mergeCell ref="P43:Q43"/>
    <mergeCell ref="R43:T43"/>
    <mergeCell ref="D44:F44"/>
    <mergeCell ref="G44:H44"/>
    <mergeCell ref="I44:J44"/>
    <mergeCell ref="K44:L44"/>
    <mergeCell ref="R44:T44"/>
    <mergeCell ref="P45:Q45"/>
    <mergeCell ref="R45:T45"/>
    <mergeCell ref="B44:C44"/>
    <mergeCell ref="B45:C45"/>
    <mergeCell ref="D45:F45"/>
    <mergeCell ref="G45:H45"/>
    <mergeCell ref="I45:J45"/>
    <mergeCell ref="K45:L45"/>
    <mergeCell ref="M45:O45"/>
    <mergeCell ref="D46:F46"/>
    <mergeCell ref="G46:H46"/>
    <mergeCell ref="I46:J46"/>
    <mergeCell ref="K46:L46"/>
    <mergeCell ref="M46:O46"/>
    <mergeCell ref="P46:Q46"/>
    <mergeCell ref="R46:T46"/>
    <mergeCell ref="B46:C46"/>
    <mergeCell ref="B47:C47"/>
    <mergeCell ref="D47:F47"/>
    <mergeCell ref="G47:H47"/>
    <mergeCell ref="I47:J47"/>
    <mergeCell ref="K47:L47"/>
    <mergeCell ref="M47:O47"/>
    <mergeCell ref="M48:O48"/>
    <mergeCell ref="P48:Q48"/>
    <mergeCell ref="P47:Q47"/>
    <mergeCell ref="R47:T47"/>
    <mergeCell ref="D48:F48"/>
    <mergeCell ref="G48:H48"/>
    <mergeCell ref="I48:J48"/>
    <mergeCell ref="K48:L48"/>
    <mergeCell ref="R48:T48"/>
    <mergeCell ref="P49:Q49"/>
    <mergeCell ref="R49:T49"/>
    <mergeCell ref="B48:C48"/>
    <mergeCell ref="B49:C49"/>
    <mergeCell ref="D49:F49"/>
    <mergeCell ref="G49:H49"/>
    <mergeCell ref="I49:J49"/>
    <mergeCell ref="K49:L49"/>
    <mergeCell ref="M49:O49"/>
    <mergeCell ref="D50:F50"/>
    <mergeCell ref="G50:H50"/>
    <mergeCell ref="I50:J50"/>
    <mergeCell ref="K50:L50"/>
    <mergeCell ref="M50:O50"/>
    <mergeCell ref="P50:Q50"/>
    <mergeCell ref="R50:T50"/>
    <mergeCell ref="B50:C50"/>
    <mergeCell ref="B51:C51"/>
    <mergeCell ref="D51:F51"/>
    <mergeCell ref="G51:H51"/>
    <mergeCell ref="I51:J51"/>
    <mergeCell ref="K51:L51"/>
    <mergeCell ref="M51:O51"/>
    <mergeCell ref="M52:O52"/>
    <mergeCell ref="P52:Q52"/>
    <mergeCell ref="P51:Q51"/>
    <mergeCell ref="R51:T51"/>
    <mergeCell ref="D52:F52"/>
    <mergeCell ref="G52:H52"/>
    <mergeCell ref="I52:J52"/>
    <mergeCell ref="K52:L52"/>
    <mergeCell ref="R52:T52"/>
    <mergeCell ref="P53:Q53"/>
    <mergeCell ref="R53:T53"/>
    <mergeCell ref="B52:C52"/>
    <mergeCell ref="B53:C53"/>
    <mergeCell ref="D53:F53"/>
    <mergeCell ref="G53:H53"/>
    <mergeCell ref="I53:J53"/>
    <mergeCell ref="K53:L53"/>
    <mergeCell ref="M53:O53"/>
    <mergeCell ref="M56:O56"/>
    <mergeCell ref="P56:Q56"/>
    <mergeCell ref="P55:Q55"/>
    <mergeCell ref="R55:T55"/>
    <mergeCell ref="D56:F56"/>
    <mergeCell ref="G56:H56"/>
    <mergeCell ref="I56:J56"/>
    <mergeCell ref="K56:L56"/>
    <mergeCell ref="R56:T56"/>
    <mergeCell ref="Z39:AA39"/>
    <mergeCell ref="AB39:AD39"/>
    <mergeCell ref="X37:Y37"/>
    <mergeCell ref="Z37:AA37"/>
    <mergeCell ref="AB37:AD37"/>
    <mergeCell ref="X38:Y38"/>
    <mergeCell ref="Z38:AA38"/>
    <mergeCell ref="AB38:AD38"/>
    <mergeCell ref="X39:Y39"/>
    <mergeCell ref="Z42:AA42"/>
    <mergeCell ref="AB42:AD42"/>
    <mergeCell ref="X40:Y40"/>
    <mergeCell ref="Z40:AA40"/>
    <mergeCell ref="AB40:AD40"/>
    <mergeCell ref="X41:Y41"/>
    <mergeCell ref="Z41:AA41"/>
    <mergeCell ref="AB41:AD41"/>
    <mergeCell ref="X42:Y42"/>
    <mergeCell ref="Z45:AA45"/>
    <mergeCell ref="AB45:AD45"/>
    <mergeCell ref="X43:Y43"/>
    <mergeCell ref="Z43:AA43"/>
    <mergeCell ref="AB43:AD43"/>
    <mergeCell ref="X44:Y44"/>
    <mergeCell ref="Z44:AA44"/>
    <mergeCell ref="AB44:AD44"/>
    <mergeCell ref="X45:Y45"/>
    <mergeCell ref="Z48:AA48"/>
    <mergeCell ref="AB48:AD48"/>
    <mergeCell ref="X46:Y46"/>
    <mergeCell ref="Z46:AA46"/>
    <mergeCell ref="AB46:AD46"/>
    <mergeCell ref="X47:Y47"/>
    <mergeCell ref="Z47:AA47"/>
    <mergeCell ref="AB47:AD47"/>
    <mergeCell ref="X48:Y48"/>
    <mergeCell ref="Z51:AA51"/>
    <mergeCell ref="AB51:AD51"/>
    <mergeCell ref="X49:Y49"/>
    <mergeCell ref="Z49:AA49"/>
    <mergeCell ref="AB49:AD49"/>
    <mergeCell ref="X50:Y50"/>
    <mergeCell ref="Z50:AA50"/>
    <mergeCell ref="AB50:AD50"/>
    <mergeCell ref="X51:Y51"/>
    <mergeCell ref="Z54:AA54"/>
    <mergeCell ref="AB54:AD54"/>
    <mergeCell ref="X52:Y52"/>
    <mergeCell ref="Z52:AA52"/>
    <mergeCell ref="AB52:AD52"/>
    <mergeCell ref="X53:Y53"/>
    <mergeCell ref="Z53:AA53"/>
    <mergeCell ref="AB53:AD53"/>
    <mergeCell ref="X54:Y54"/>
    <mergeCell ref="Z57:AA57"/>
    <mergeCell ref="AB57:AD57"/>
    <mergeCell ref="X55:Y55"/>
    <mergeCell ref="Z55:AA55"/>
    <mergeCell ref="AB55:AD55"/>
    <mergeCell ref="X56:Y56"/>
    <mergeCell ref="Z56:AA56"/>
    <mergeCell ref="AB56:AD56"/>
    <mergeCell ref="X57:Y57"/>
    <mergeCell ref="P65:Q65"/>
    <mergeCell ref="R65:T65"/>
    <mergeCell ref="B64:C64"/>
    <mergeCell ref="B65:C65"/>
    <mergeCell ref="D65:F65"/>
    <mergeCell ref="G65:H65"/>
    <mergeCell ref="I65:J65"/>
    <mergeCell ref="K65:L65"/>
    <mergeCell ref="M65:O65"/>
    <mergeCell ref="D66:F66"/>
    <mergeCell ref="G66:H66"/>
    <mergeCell ref="I66:J66"/>
    <mergeCell ref="K66:L66"/>
    <mergeCell ref="M66:O66"/>
    <mergeCell ref="P66:Q66"/>
    <mergeCell ref="R66:T66"/>
    <mergeCell ref="B66:C66"/>
    <mergeCell ref="B67:C67"/>
    <mergeCell ref="D67:F67"/>
    <mergeCell ref="G67:H67"/>
    <mergeCell ref="I67:J67"/>
    <mergeCell ref="K67:L67"/>
    <mergeCell ref="M67:O67"/>
    <mergeCell ref="M68:O68"/>
    <mergeCell ref="P68:Q68"/>
    <mergeCell ref="P67:Q67"/>
    <mergeCell ref="R67:T67"/>
    <mergeCell ref="D68:F68"/>
    <mergeCell ref="G68:H68"/>
    <mergeCell ref="I68:J68"/>
    <mergeCell ref="K68:L68"/>
    <mergeCell ref="R68:T68"/>
    <mergeCell ref="P69:Q69"/>
    <mergeCell ref="R69:T69"/>
    <mergeCell ref="B68:C68"/>
    <mergeCell ref="B69:C69"/>
    <mergeCell ref="D69:F69"/>
    <mergeCell ref="G69:H69"/>
    <mergeCell ref="I69:J69"/>
    <mergeCell ref="K69:L69"/>
    <mergeCell ref="M69:O69"/>
    <mergeCell ref="D70:F70"/>
    <mergeCell ref="G70:H70"/>
    <mergeCell ref="I70:J70"/>
    <mergeCell ref="K70:L70"/>
    <mergeCell ref="M70:O70"/>
    <mergeCell ref="P70:Q70"/>
    <mergeCell ref="R70:T70"/>
    <mergeCell ref="B70:C70"/>
    <mergeCell ref="B71:C71"/>
    <mergeCell ref="D71:F71"/>
    <mergeCell ref="G71:H71"/>
    <mergeCell ref="I71:J71"/>
    <mergeCell ref="K71:L71"/>
    <mergeCell ref="M71:O71"/>
    <mergeCell ref="M72:O72"/>
    <mergeCell ref="P72:Q72"/>
    <mergeCell ref="P71:Q71"/>
    <mergeCell ref="R71:T71"/>
    <mergeCell ref="D72:F72"/>
    <mergeCell ref="G72:H72"/>
    <mergeCell ref="I72:J72"/>
    <mergeCell ref="K72:L72"/>
    <mergeCell ref="R72:T72"/>
    <mergeCell ref="P73:Q73"/>
    <mergeCell ref="R73:T73"/>
    <mergeCell ref="B72:C72"/>
    <mergeCell ref="B73:C73"/>
    <mergeCell ref="D73:F73"/>
    <mergeCell ref="G73:H73"/>
    <mergeCell ref="I73:J73"/>
    <mergeCell ref="K73:L73"/>
    <mergeCell ref="M73:O73"/>
    <mergeCell ref="Z60:AA60"/>
    <mergeCell ref="AB60:AD60"/>
    <mergeCell ref="X58:Y58"/>
    <mergeCell ref="Z58:AA58"/>
    <mergeCell ref="AB58:AD58"/>
    <mergeCell ref="X59:Y59"/>
    <mergeCell ref="Z59:AA59"/>
    <mergeCell ref="AB59:AD59"/>
    <mergeCell ref="X60:Y60"/>
    <mergeCell ref="Z30:AA30"/>
    <mergeCell ref="AB30:AD30"/>
    <mergeCell ref="X28:Y28"/>
    <mergeCell ref="Z28:AA28"/>
    <mergeCell ref="AB28:AD28"/>
    <mergeCell ref="X29:Y29"/>
    <mergeCell ref="Z29:AA29"/>
    <mergeCell ref="AB29:AD29"/>
    <mergeCell ref="X30:Y30"/>
    <mergeCell ref="Z33:AA33"/>
    <mergeCell ref="AB33:AD33"/>
    <mergeCell ref="X31:Y31"/>
    <mergeCell ref="Z31:AA31"/>
    <mergeCell ref="AB31:AD31"/>
    <mergeCell ref="X32:Y32"/>
    <mergeCell ref="Z32:AA32"/>
    <mergeCell ref="AB32:AD32"/>
    <mergeCell ref="X33:Y33"/>
    <mergeCell ref="Z36:AA36"/>
    <mergeCell ref="AB36:AD36"/>
    <mergeCell ref="X34:Y34"/>
    <mergeCell ref="Z34:AA34"/>
    <mergeCell ref="AB34:AD34"/>
    <mergeCell ref="X35:Y35"/>
    <mergeCell ref="Z35:AA35"/>
    <mergeCell ref="AB35:AD35"/>
    <mergeCell ref="X36:Y36"/>
    <mergeCell ref="X64:Y64"/>
    <mergeCell ref="Z64:AA64"/>
    <mergeCell ref="AB64:AD64"/>
    <mergeCell ref="X65:Y65"/>
    <mergeCell ref="Z65:AA65"/>
    <mergeCell ref="AB65:AD65"/>
    <mergeCell ref="U70:W70"/>
    <mergeCell ref="X70:Y70"/>
    <mergeCell ref="Z70:AA70"/>
    <mergeCell ref="AB70:AD70"/>
    <mergeCell ref="X71:Y71"/>
    <mergeCell ref="Z71:AA71"/>
    <mergeCell ref="AB71:AD71"/>
    <mergeCell ref="U71:W71"/>
    <mergeCell ref="U72:W72"/>
    <mergeCell ref="X72:Y72"/>
    <mergeCell ref="Z72:AA72"/>
    <mergeCell ref="AB72:AD72"/>
    <mergeCell ref="U73:W73"/>
    <mergeCell ref="X73:Y73"/>
    <mergeCell ref="U74:W74"/>
    <mergeCell ref="X74:Y74"/>
    <mergeCell ref="Z74:AA74"/>
    <mergeCell ref="AB74:AD74"/>
    <mergeCell ref="X75:Y75"/>
    <mergeCell ref="Z75:AA75"/>
    <mergeCell ref="AB75:AD75"/>
    <mergeCell ref="U75:W75"/>
    <mergeCell ref="U76:W76"/>
    <mergeCell ref="X76:Y76"/>
    <mergeCell ref="Z76:AA76"/>
    <mergeCell ref="AB76:AD76"/>
    <mergeCell ref="U77:W77"/>
    <mergeCell ref="X77:Y77"/>
    <mergeCell ref="X79:Y79"/>
    <mergeCell ref="Z79:AA79"/>
    <mergeCell ref="Z77:AA77"/>
    <mergeCell ref="AB77:AD77"/>
    <mergeCell ref="U78:W78"/>
    <mergeCell ref="X78:Y78"/>
    <mergeCell ref="Z78:AA78"/>
    <mergeCell ref="AB78:AD78"/>
    <mergeCell ref="AB79:AD79"/>
    <mergeCell ref="Z81:AA81"/>
    <mergeCell ref="AB81:AD81"/>
    <mergeCell ref="U79:W79"/>
    <mergeCell ref="U80:W80"/>
    <mergeCell ref="X80:Y80"/>
    <mergeCell ref="Z80:AA80"/>
    <mergeCell ref="AB80:AD80"/>
    <mergeCell ref="U81:W81"/>
    <mergeCell ref="X81:Y81"/>
    <mergeCell ref="X87:Y87"/>
    <mergeCell ref="Z87:AA87"/>
    <mergeCell ref="Z85:AA85"/>
    <mergeCell ref="AB85:AD85"/>
    <mergeCell ref="U86:W86"/>
    <mergeCell ref="X86:Y86"/>
    <mergeCell ref="Z86:AA86"/>
    <mergeCell ref="AB86:AD86"/>
    <mergeCell ref="AB87:AD87"/>
    <mergeCell ref="D74:F74"/>
    <mergeCell ref="G74:H74"/>
    <mergeCell ref="I74:J74"/>
    <mergeCell ref="K74:L74"/>
    <mergeCell ref="M74:O74"/>
    <mergeCell ref="P74:Q74"/>
    <mergeCell ref="R74:T74"/>
    <mergeCell ref="B74:C74"/>
    <mergeCell ref="B75:C75"/>
    <mergeCell ref="D75:F75"/>
    <mergeCell ref="G75:H75"/>
    <mergeCell ref="I75:J75"/>
    <mergeCell ref="K75:L75"/>
    <mergeCell ref="M75:O75"/>
    <mergeCell ref="M76:O76"/>
    <mergeCell ref="P76:Q76"/>
    <mergeCell ref="P75:Q75"/>
    <mergeCell ref="R75:T75"/>
    <mergeCell ref="D76:F76"/>
    <mergeCell ref="G76:H76"/>
    <mergeCell ref="I76:J76"/>
    <mergeCell ref="K76:L76"/>
    <mergeCell ref="R76:T76"/>
    <mergeCell ref="P77:Q77"/>
    <mergeCell ref="R77:T77"/>
    <mergeCell ref="B76:C76"/>
    <mergeCell ref="B77:C77"/>
    <mergeCell ref="D77:F77"/>
    <mergeCell ref="G77:H77"/>
    <mergeCell ref="I77:J77"/>
    <mergeCell ref="K77:L77"/>
    <mergeCell ref="M77:O77"/>
    <mergeCell ref="D78:F78"/>
    <mergeCell ref="G78:H78"/>
    <mergeCell ref="I78:J78"/>
    <mergeCell ref="K78:L78"/>
    <mergeCell ref="M78:O78"/>
    <mergeCell ref="P78:Q78"/>
    <mergeCell ref="R78:T78"/>
    <mergeCell ref="B78:C78"/>
    <mergeCell ref="B79:C79"/>
    <mergeCell ref="D79:F79"/>
    <mergeCell ref="G79:H79"/>
    <mergeCell ref="I79:J79"/>
    <mergeCell ref="K79:L79"/>
    <mergeCell ref="M79:O79"/>
    <mergeCell ref="M80:O80"/>
    <mergeCell ref="P80:Q80"/>
    <mergeCell ref="P79:Q79"/>
    <mergeCell ref="R79:T79"/>
    <mergeCell ref="D80:F80"/>
    <mergeCell ref="G80:H80"/>
    <mergeCell ref="I80:J80"/>
    <mergeCell ref="K80:L80"/>
    <mergeCell ref="R80:T80"/>
    <mergeCell ref="P81:Q81"/>
    <mergeCell ref="R81:T81"/>
    <mergeCell ref="B80:C80"/>
    <mergeCell ref="B81:C81"/>
    <mergeCell ref="D81:F81"/>
    <mergeCell ref="G81:H81"/>
    <mergeCell ref="I81:J81"/>
    <mergeCell ref="K81:L81"/>
    <mergeCell ref="M81:O81"/>
    <mergeCell ref="M84:O84"/>
    <mergeCell ref="P84:Q84"/>
    <mergeCell ref="P83:Q83"/>
    <mergeCell ref="R83:T83"/>
    <mergeCell ref="D84:F84"/>
    <mergeCell ref="G84:H84"/>
    <mergeCell ref="I84:J84"/>
    <mergeCell ref="K84:L84"/>
    <mergeCell ref="R84:T84"/>
    <mergeCell ref="D82:F82"/>
    <mergeCell ref="G82:H82"/>
    <mergeCell ref="I82:J82"/>
    <mergeCell ref="K82:L82"/>
    <mergeCell ref="M82:O82"/>
    <mergeCell ref="P82:Q82"/>
    <mergeCell ref="R82:T82"/>
    <mergeCell ref="B82:C82"/>
    <mergeCell ref="B83:C83"/>
    <mergeCell ref="D83:F83"/>
    <mergeCell ref="G83:H83"/>
    <mergeCell ref="I83:J83"/>
    <mergeCell ref="K83:L83"/>
    <mergeCell ref="M83:O83"/>
    <mergeCell ref="P85:Q85"/>
    <mergeCell ref="R85:T85"/>
    <mergeCell ref="B84:C84"/>
    <mergeCell ref="B85:C85"/>
    <mergeCell ref="D85:F85"/>
    <mergeCell ref="G85:H85"/>
    <mergeCell ref="I85:J85"/>
    <mergeCell ref="K85:L85"/>
    <mergeCell ref="M85:O85"/>
    <mergeCell ref="D86:F86"/>
    <mergeCell ref="G86:H86"/>
    <mergeCell ref="I86:J86"/>
    <mergeCell ref="K86:L86"/>
    <mergeCell ref="M86:O86"/>
    <mergeCell ref="P86:Q86"/>
    <mergeCell ref="R86:T86"/>
    <mergeCell ref="B86:C86"/>
    <mergeCell ref="B87:C87"/>
    <mergeCell ref="D87:F87"/>
    <mergeCell ref="G87:H87"/>
    <mergeCell ref="I87:J87"/>
    <mergeCell ref="K87:L87"/>
    <mergeCell ref="M87:O87"/>
    <mergeCell ref="M88:O88"/>
    <mergeCell ref="P88:Q88"/>
    <mergeCell ref="P87:Q87"/>
    <mergeCell ref="R87:T87"/>
    <mergeCell ref="D88:F88"/>
    <mergeCell ref="G88:H88"/>
    <mergeCell ref="I88:J88"/>
    <mergeCell ref="K88:L88"/>
    <mergeCell ref="R88:T88"/>
    <mergeCell ref="P89:Q89"/>
    <mergeCell ref="R89:T89"/>
    <mergeCell ref="B88:C88"/>
    <mergeCell ref="B89:C89"/>
    <mergeCell ref="D89:F89"/>
    <mergeCell ref="G89:H89"/>
    <mergeCell ref="I89:J89"/>
    <mergeCell ref="K89:L89"/>
    <mergeCell ref="M89:O89"/>
    <mergeCell ref="D90:F90"/>
    <mergeCell ref="G90:H90"/>
    <mergeCell ref="I90:J90"/>
    <mergeCell ref="K90:L90"/>
    <mergeCell ref="M90:O90"/>
    <mergeCell ref="P90:Q90"/>
    <mergeCell ref="R90:T90"/>
    <mergeCell ref="B90:C90"/>
    <mergeCell ref="B91:C91"/>
    <mergeCell ref="D91:F91"/>
    <mergeCell ref="G91:H91"/>
    <mergeCell ref="I91:J91"/>
    <mergeCell ref="K91:L91"/>
    <mergeCell ref="M91:O91"/>
    <mergeCell ref="M92:O92"/>
    <mergeCell ref="P92:Q92"/>
    <mergeCell ref="P91:Q91"/>
    <mergeCell ref="R91:T91"/>
    <mergeCell ref="D92:F92"/>
    <mergeCell ref="G92:H92"/>
    <mergeCell ref="I92:J92"/>
    <mergeCell ref="K92:L92"/>
    <mergeCell ref="R92:T92"/>
    <mergeCell ref="P93:Q93"/>
    <mergeCell ref="R93:T93"/>
    <mergeCell ref="B92:C92"/>
    <mergeCell ref="B93:C93"/>
    <mergeCell ref="D93:F93"/>
    <mergeCell ref="G93:H93"/>
    <mergeCell ref="I93:J93"/>
    <mergeCell ref="K93:L93"/>
    <mergeCell ref="M93:O93"/>
    <mergeCell ref="D94:F94"/>
    <mergeCell ref="G94:H94"/>
    <mergeCell ref="I94:J94"/>
    <mergeCell ref="K94:L94"/>
    <mergeCell ref="M94:O94"/>
    <mergeCell ref="P94:Q94"/>
    <mergeCell ref="R94:T94"/>
    <mergeCell ref="B94:C94"/>
    <mergeCell ref="B95:C95"/>
    <mergeCell ref="D95:F95"/>
    <mergeCell ref="G95:H95"/>
    <mergeCell ref="I95:J95"/>
    <mergeCell ref="K95:L95"/>
    <mergeCell ref="M95:O95"/>
    <mergeCell ref="M96:O96"/>
    <mergeCell ref="P96:Q96"/>
    <mergeCell ref="P95:Q95"/>
    <mergeCell ref="R95:T95"/>
    <mergeCell ref="D96:F96"/>
    <mergeCell ref="G96:H96"/>
    <mergeCell ref="I96:J96"/>
    <mergeCell ref="K96:L96"/>
    <mergeCell ref="R96:T96"/>
    <mergeCell ref="P97:Q97"/>
    <mergeCell ref="R97:T97"/>
    <mergeCell ref="B96:C96"/>
    <mergeCell ref="B97:C97"/>
    <mergeCell ref="D97:F97"/>
    <mergeCell ref="G97:H97"/>
    <mergeCell ref="I97:J97"/>
    <mergeCell ref="K97:L97"/>
    <mergeCell ref="M97:O97"/>
    <mergeCell ref="D98:F98"/>
    <mergeCell ref="G98:H98"/>
    <mergeCell ref="I98:J98"/>
    <mergeCell ref="K98:L98"/>
    <mergeCell ref="M98:O98"/>
    <mergeCell ref="P98:Q98"/>
    <mergeCell ref="R98:T98"/>
    <mergeCell ref="B98:C98"/>
    <mergeCell ref="B99:C99"/>
    <mergeCell ref="D99:F99"/>
    <mergeCell ref="G99:H99"/>
    <mergeCell ref="I99:J99"/>
    <mergeCell ref="K99:L99"/>
    <mergeCell ref="M99:O99"/>
    <mergeCell ref="M100:O100"/>
    <mergeCell ref="P100:Q100"/>
    <mergeCell ref="P99:Q99"/>
    <mergeCell ref="R99:T99"/>
    <mergeCell ref="D100:F100"/>
    <mergeCell ref="G100:H100"/>
    <mergeCell ref="I100:J100"/>
    <mergeCell ref="K100:L100"/>
    <mergeCell ref="R100:T100"/>
    <mergeCell ref="P101:Q101"/>
    <mergeCell ref="R101:T101"/>
    <mergeCell ref="B100:C100"/>
    <mergeCell ref="B101:C101"/>
    <mergeCell ref="D101:F101"/>
    <mergeCell ref="G101:H101"/>
    <mergeCell ref="I101:J101"/>
    <mergeCell ref="K101:L101"/>
    <mergeCell ref="M101:O101"/>
    <mergeCell ref="D102:F102"/>
    <mergeCell ref="G102:H102"/>
    <mergeCell ref="I102:J102"/>
    <mergeCell ref="K102:L102"/>
    <mergeCell ref="M102:O102"/>
    <mergeCell ref="P102:Q102"/>
    <mergeCell ref="R102:T102"/>
    <mergeCell ref="B102:C102"/>
    <mergeCell ref="B103:C103"/>
    <mergeCell ref="D103:F103"/>
    <mergeCell ref="G103:H103"/>
    <mergeCell ref="I103:J103"/>
    <mergeCell ref="K103:L103"/>
    <mergeCell ref="M103:O103"/>
    <mergeCell ref="M104:O104"/>
    <mergeCell ref="P104:Q104"/>
    <mergeCell ref="P103:Q103"/>
    <mergeCell ref="R103:T103"/>
    <mergeCell ref="D104:F104"/>
    <mergeCell ref="G104:H104"/>
    <mergeCell ref="I104:J104"/>
    <mergeCell ref="K104:L104"/>
    <mergeCell ref="R104:T104"/>
    <mergeCell ref="P105:Q105"/>
    <mergeCell ref="R105:T105"/>
    <mergeCell ref="B104:C104"/>
    <mergeCell ref="B105:C105"/>
    <mergeCell ref="D105:F105"/>
    <mergeCell ref="G105:H105"/>
    <mergeCell ref="I105:J105"/>
    <mergeCell ref="K105:L105"/>
    <mergeCell ref="M105:O105"/>
    <mergeCell ref="D106:F106"/>
    <mergeCell ref="G106:H106"/>
    <mergeCell ref="I106:J106"/>
    <mergeCell ref="K106:L106"/>
    <mergeCell ref="M106:O106"/>
    <mergeCell ref="P106:Q106"/>
    <mergeCell ref="R106:T106"/>
    <mergeCell ref="B106:C106"/>
    <mergeCell ref="B107:C107"/>
    <mergeCell ref="D107:F107"/>
    <mergeCell ref="G107:H107"/>
    <mergeCell ref="I107:J107"/>
    <mergeCell ref="K107:L107"/>
    <mergeCell ref="M107:O107"/>
    <mergeCell ref="M108:O108"/>
    <mergeCell ref="P108:Q108"/>
    <mergeCell ref="P107:Q107"/>
    <mergeCell ref="R107:T107"/>
    <mergeCell ref="D108:F108"/>
    <mergeCell ref="G108:H108"/>
    <mergeCell ref="I108:J108"/>
    <mergeCell ref="K108:L108"/>
    <mergeCell ref="R108:T108"/>
    <mergeCell ref="P109:Q109"/>
    <mergeCell ref="R109:T109"/>
    <mergeCell ref="B108:C108"/>
    <mergeCell ref="B109:C109"/>
    <mergeCell ref="D109:F109"/>
    <mergeCell ref="G109:H109"/>
    <mergeCell ref="I109:J109"/>
    <mergeCell ref="K109:L109"/>
    <mergeCell ref="M109:O109"/>
    <mergeCell ref="M112:O112"/>
    <mergeCell ref="P112:Q112"/>
    <mergeCell ref="P111:Q111"/>
    <mergeCell ref="R111:T111"/>
    <mergeCell ref="D112:F112"/>
    <mergeCell ref="G112:H112"/>
    <mergeCell ref="I112:J112"/>
    <mergeCell ref="K112:L112"/>
    <mergeCell ref="R112:T112"/>
    <mergeCell ref="D110:F110"/>
    <mergeCell ref="G110:H110"/>
    <mergeCell ref="I110:J110"/>
    <mergeCell ref="K110:L110"/>
    <mergeCell ref="M110:O110"/>
    <mergeCell ref="P110:Q110"/>
    <mergeCell ref="R110:T110"/>
    <mergeCell ref="B110:C110"/>
    <mergeCell ref="B111:C111"/>
    <mergeCell ref="D111:F111"/>
    <mergeCell ref="G111:H111"/>
    <mergeCell ref="I111:J111"/>
    <mergeCell ref="K111:L111"/>
    <mergeCell ref="M111:O111"/>
    <mergeCell ref="P113:Q113"/>
    <mergeCell ref="R113:T113"/>
    <mergeCell ref="B112:C112"/>
    <mergeCell ref="B113:C113"/>
    <mergeCell ref="D113:F113"/>
    <mergeCell ref="G113:H113"/>
    <mergeCell ref="I113:J113"/>
    <mergeCell ref="K113:L113"/>
    <mergeCell ref="M113:O113"/>
    <mergeCell ref="D114:F114"/>
    <mergeCell ref="G114:H114"/>
    <mergeCell ref="I114:J114"/>
    <mergeCell ref="K114:L114"/>
    <mergeCell ref="M114:O114"/>
    <mergeCell ref="P114:Q114"/>
    <mergeCell ref="R114:T114"/>
    <mergeCell ref="B114:C114"/>
    <mergeCell ref="B115:C115"/>
    <mergeCell ref="D115:F115"/>
    <mergeCell ref="G115:H115"/>
    <mergeCell ref="I115:J115"/>
    <mergeCell ref="K115:L115"/>
    <mergeCell ref="M115:O115"/>
    <mergeCell ref="M116:O116"/>
    <mergeCell ref="P116:Q116"/>
    <mergeCell ref="P115:Q115"/>
    <mergeCell ref="R115:T115"/>
    <mergeCell ref="D116:F116"/>
    <mergeCell ref="G116:H116"/>
    <mergeCell ref="I116:J116"/>
    <mergeCell ref="K116:L116"/>
    <mergeCell ref="R116:T116"/>
    <mergeCell ref="P117:Q117"/>
    <mergeCell ref="R117:T117"/>
    <mergeCell ref="B116:C116"/>
    <mergeCell ref="B117:C117"/>
    <mergeCell ref="D117:F117"/>
    <mergeCell ref="G117:H117"/>
    <mergeCell ref="I117:J117"/>
    <mergeCell ref="K117:L117"/>
    <mergeCell ref="M117:O117"/>
    <mergeCell ref="D118:F118"/>
    <mergeCell ref="G118:H118"/>
    <mergeCell ref="I118:J118"/>
    <mergeCell ref="K118:L118"/>
    <mergeCell ref="M118:O118"/>
    <mergeCell ref="P118:Q118"/>
    <mergeCell ref="R118:T118"/>
    <mergeCell ref="B118:C118"/>
    <mergeCell ref="B119:C119"/>
    <mergeCell ref="D119:F119"/>
    <mergeCell ref="G119:H119"/>
    <mergeCell ref="I119:J119"/>
    <mergeCell ref="K119:L119"/>
    <mergeCell ref="M119:O119"/>
    <mergeCell ref="M120:O120"/>
    <mergeCell ref="P120:Q120"/>
    <mergeCell ref="P119:Q119"/>
    <mergeCell ref="R119:T119"/>
    <mergeCell ref="D120:F120"/>
    <mergeCell ref="G120:H120"/>
    <mergeCell ref="I120:J120"/>
    <mergeCell ref="K120:L120"/>
    <mergeCell ref="R120:T120"/>
    <mergeCell ref="P121:Q121"/>
    <mergeCell ref="R121:T121"/>
    <mergeCell ref="B120:C120"/>
    <mergeCell ref="B121:C121"/>
    <mergeCell ref="D121:F121"/>
    <mergeCell ref="G121:H121"/>
    <mergeCell ref="I121:J121"/>
    <mergeCell ref="K121:L121"/>
    <mergeCell ref="M121:O121"/>
    <mergeCell ref="D122:F122"/>
    <mergeCell ref="G122:H122"/>
    <mergeCell ref="I122:J122"/>
    <mergeCell ref="K122:L122"/>
    <mergeCell ref="M122:O122"/>
    <mergeCell ref="P122:Q122"/>
    <mergeCell ref="R122:T122"/>
    <mergeCell ref="B122:C122"/>
    <mergeCell ref="B123:C123"/>
    <mergeCell ref="D123:F123"/>
    <mergeCell ref="G123:H123"/>
    <mergeCell ref="I123:J123"/>
    <mergeCell ref="K123:L123"/>
    <mergeCell ref="M123:O123"/>
    <mergeCell ref="M124:O124"/>
    <mergeCell ref="P124:Q124"/>
    <mergeCell ref="P123:Q123"/>
    <mergeCell ref="R123:T123"/>
    <mergeCell ref="D124:F124"/>
    <mergeCell ref="G124:H124"/>
    <mergeCell ref="I124:J124"/>
    <mergeCell ref="K124:L124"/>
    <mergeCell ref="R124:T124"/>
    <mergeCell ref="P125:Q125"/>
    <mergeCell ref="R125:T125"/>
    <mergeCell ref="B124:C124"/>
    <mergeCell ref="B125:C125"/>
    <mergeCell ref="D125:F125"/>
    <mergeCell ref="G125:H125"/>
    <mergeCell ref="I125:J125"/>
    <mergeCell ref="K125:L125"/>
    <mergeCell ref="M125:O125"/>
    <mergeCell ref="D126:F126"/>
    <mergeCell ref="G126:H126"/>
    <mergeCell ref="I126:J126"/>
    <mergeCell ref="K126:L126"/>
    <mergeCell ref="M126:O126"/>
    <mergeCell ref="P126:Q126"/>
    <mergeCell ref="R126:T126"/>
    <mergeCell ref="B126:C126"/>
    <mergeCell ref="B127:C127"/>
    <mergeCell ref="D127:F127"/>
    <mergeCell ref="G127:H127"/>
    <mergeCell ref="I127:J127"/>
    <mergeCell ref="K127:L127"/>
    <mergeCell ref="M127:O127"/>
    <mergeCell ref="M128:O128"/>
    <mergeCell ref="P128:Q128"/>
    <mergeCell ref="P127:Q127"/>
    <mergeCell ref="R127:T127"/>
    <mergeCell ref="D128:F128"/>
    <mergeCell ref="G128:H128"/>
    <mergeCell ref="I128:J128"/>
    <mergeCell ref="K128:L128"/>
    <mergeCell ref="R128:T128"/>
    <mergeCell ref="P129:Q129"/>
    <mergeCell ref="R129:T129"/>
    <mergeCell ref="B128:C128"/>
    <mergeCell ref="B129:C129"/>
    <mergeCell ref="D129:F129"/>
    <mergeCell ref="G129:H129"/>
    <mergeCell ref="I129:J129"/>
    <mergeCell ref="K129:L129"/>
    <mergeCell ref="M129:O129"/>
    <mergeCell ref="D130:F130"/>
    <mergeCell ref="G130:H130"/>
    <mergeCell ref="I130:J130"/>
    <mergeCell ref="K130:L130"/>
    <mergeCell ref="M130:O130"/>
    <mergeCell ref="P130:Q130"/>
    <mergeCell ref="R130:T130"/>
    <mergeCell ref="B130:C130"/>
    <mergeCell ref="B131:C131"/>
    <mergeCell ref="D131:F131"/>
    <mergeCell ref="G131:H131"/>
    <mergeCell ref="I131:J131"/>
    <mergeCell ref="K131:L131"/>
    <mergeCell ref="M131:O131"/>
    <mergeCell ref="M132:O132"/>
    <mergeCell ref="P132:Q132"/>
    <mergeCell ref="P131:Q131"/>
    <mergeCell ref="R131:T131"/>
    <mergeCell ref="D132:F132"/>
    <mergeCell ref="G132:H132"/>
    <mergeCell ref="I132:J132"/>
    <mergeCell ref="K132:L132"/>
    <mergeCell ref="R132:T132"/>
    <mergeCell ref="P133:Q133"/>
    <mergeCell ref="R133:T133"/>
    <mergeCell ref="B132:C132"/>
    <mergeCell ref="B133:C133"/>
    <mergeCell ref="D133:F133"/>
    <mergeCell ref="G133:H133"/>
    <mergeCell ref="I133:J133"/>
    <mergeCell ref="K133:L133"/>
    <mergeCell ref="M133:O133"/>
    <mergeCell ref="D134:F134"/>
    <mergeCell ref="G134:H134"/>
    <mergeCell ref="I134:J134"/>
    <mergeCell ref="K134:L134"/>
    <mergeCell ref="M134:O134"/>
    <mergeCell ref="P134:Q134"/>
    <mergeCell ref="R134:T134"/>
    <mergeCell ref="B134:C134"/>
    <mergeCell ref="B135:C135"/>
    <mergeCell ref="D135:F135"/>
    <mergeCell ref="G135:H135"/>
    <mergeCell ref="I135:J135"/>
    <mergeCell ref="K135:L135"/>
    <mergeCell ref="M135:O135"/>
    <mergeCell ref="M136:O136"/>
    <mergeCell ref="P136:Q136"/>
    <mergeCell ref="P135:Q135"/>
    <mergeCell ref="R135:T135"/>
    <mergeCell ref="D136:F136"/>
    <mergeCell ref="G136:H136"/>
    <mergeCell ref="I136:J136"/>
    <mergeCell ref="K136:L136"/>
    <mergeCell ref="R136:T136"/>
    <mergeCell ref="P137:Q137"/>
    <mergeCell ref="R137:T137"/>
    <mergeCell ref="B136:C136"/>
    <mergeCell ref="B137:C137"/>
    <mergeCell ref="D137:F137"/>
    <mergeCell ref="G137:H137"/>
    <mergeCell ref="I137:J137"/>
    <mergeCell ref="K137:L137"/>
    <mergeCell ref="M137:O137"/>
    <mergeCell ref="M140:O140"/>
    <mergeCell ref="P140:Q140"/>
    <mergeCell ref="P139:Q139"/>
    <mergeCell ref="R139:T139"/>
    <mergeCell ref="D140:F140"/>
    <mergeCell ref="G140:H140"/>
    <mergeCell ref="I140:J140"/>
    <mergeCell ref="K140:L140"/>
    <mergeCell ref="R140:T140"/>
    <mergeCell ref="P205:Q205"/>
    <mergeCell ref="R205:T205"/>
    <mergeCell ref="B204:C204"/>
    <mergeCell ref="B205:C205"/>
    <mergeCell ref="D205:F205"/>
    <mergeCell ref="G205:H205"/>
    <mergeCell ref="I205:J205"/>
    <mergeCell ref="K205:L205"/>
    <mergeCell ref="M205:O205"/>
    <mergeCell ref="D206:F206"/>
    <mergeCell ref="G206:H206"/>
    <mergeCell ref="I206:J206"/>
    <mergeCell ref="K206:L206"/>
    <mergeCell ref="M206:O206"/>
    <mergeCell ref="P206:Q206"/>
    <mergeCell ref="R206:T206"/>
    <mergeCell ref="B206:C206"/>
    <mergeCell ref="B207:C207"/>
    <mergeCell ref="D207:F207"/>
    <mergeCell ref="G207:H207"/>
    <mergeCell ref="I207:J207"/>
    <mergeCell ref="K207:L207"/>
    <mergeCell ref="M207:O207"/>
    <mergeCell ref="M208:O208"/>
    <mergeCell ref="P208:Q208"/>
    <mergeCell ref="P207:Q207"/>
    <mergeCell ref="R207:T207"/>
    <mergeCell ref="D208:F208"/>
    <mergeCell ref="G208:H208"/>
    <mergeCell ref="I208:J208"/>
    <mergeCell ref="K208:L208"/>
    <mergeCell ref="R208:T208"/>
    <mergeCell ref="P209:Q209"/>
    <mergeCell ref="R209:T209"/>
    <mergeCell ref="B208:C208"/>
    <mergeCell ref="B209:C209"/>
    <mergeCell ref="D209:F209"/>
    <mergeCell ref="G209:H209"/>
    <mergeCell ref="I209:J209"/>
    <mergeCell ref="K209:L209"/>
    <mergeCell ref="M209:O209"/>
    <mergeCell ref="D210:F210"/>
    <mergeCell ref="G210:H210"/>
    <mergeCell ref="I210:J210"/>
    <mergeCell ref="K210:L210"/>
    <mergeCell ref="M210:O210"/>
    <mergeCell ref="P210:Q210"/>
    <mergeCell ref="R210:T210"/>
    <mergeCell ref="B210:C210"/>
    <mergeCell ref="B211:C211"/>
    <mergeCell ref="D211:F211"/>
    <mergeCell ref="G211:H211"/>
    <mergeCell ref="I211:J211"/>
    <mergeCell ref="K211:L211"/>
    <mergeCell ref="M211:O211"/>
    <mergeCell ref="M212:O212"/>
    <mergeCell ref="P212:Q212"/>
    <mergeCell ref="P211:Q211"/>
    <mergeCell ref="R211:T211"/>
    <mergeCell ref="D212:F212"/>
    <mergeCell ref="G212:H212"/>
    <mergeCell ref="I212:J212"/>
    <mergeCell ref="K212:L212"/>
    <mergeCell ref="R212:T212"/>
    <mergeCell ref="P213:Q213"/>
    <mergeCell ref="R213:T213"/>
    <mergeCell ref="B212:C212"/>
    <mergeCell ref="B213:C213"/>
    <mergeCell ref="D213:F213"/>
    <mergeCell ref="G213:H213"/>
    <mergeCell ref="I213:J213"/>
    <mergeCell ref="K213:L213"/>
    <mergeCell ref="M213:O213"/>
    <mergeCell ref="D214:F214"/>
    <mergeCell ref="G214:H214"/>
    <mergeCell ref="I214:J214"/>
    <mergeCell ref="K214:L214"/>
    <mergeCell ref="M214:O214"/>
    <mergeCell ref="P214:Q214"/>
    <mergeCell ref="R214:T214"/>
    <mergeCell ref="B214:C214"/>
    <mergeCell ref="B215:C215"/>
    <mergeCell ref="D215:F215"/>
    <mergeCell ref="G215:H215"/>
    <mergeCell ref="I215:J215"/>
    <mergeCell ref="K215:L215"/>
    <mergeCell ref="M215:O215"/>
    <mergeCell ref="M216:O216"/>
    <mergeCell ref="P216:Q216"/>
    <mergeCell ref="P215:Q215"/>
    <mergeCell ref="R215:T215"/>
    <mergeCell ref="D216:F216"/>
    <mergeCell ref="G216:H216"/>
    <mergeCell ref="I216:J216"/>
    <mergeCell ref="K216:L216"/>
    <mergeCell ref="R216:T216"/>
    <mergeCell ref="P217:Q217"/>
    <mergeCell ref="R217:T217"/>
    <mergeCell ref="B216:C216"/>
    <mergeCell ref="B217:C217"/>
    <mergeCell ref="D217:F217"/>
    <mergeCell ref="G217:H217"/>
    <mergeCell ref="I217:J217"/>
    <mergeCell ref="K217:L217"/>
    <mergeCell ref="M217:O217"/>
    <mergeCell ref="D218:F218"/>
    <mergeCell ref="G218:H218"/>
    <mergeCell ref="I218:J218"/>
    <mergeCell ref="K218:L218"/>
    <mergeCell ref="M218:O218"/>
    <mergeCell ref="P218:Q218"/>
    <mergeCell ref="R218:T218"/>
    <mergeCell ref="B218:C218"/>
    <mergeCell ref="B219:C219"/>
    <mergeCell ref="D219:F219"/>
    <mergeCell ref="G219:H219"/>
    <mergeCell ref="I219:J219"/>
    <mergeCell ref="K219:L219"/>
    <mergeCell ref="M219:O219"/>
    <mergeCell ref="M220:O220"/>
    <mergeCell ref="P220:Q220"/>
    <mergeCell ref="P219:Q219"/>
    <mergeCell ref="R219:T219"/>
    <mergeCell ref="D220:F220"/>
    <mergeCell ref="G220:H220"/>
    <mergeCell ref="I220:J220"/>
    <mergeCell ref="K220:L220"/>
    <mergeCell ref="R220:T220"/>
    <mergeCell ref="P221:Q221"/>
    <mergeCell ref="R221:T221"/>
    <mergeCell ref="B220:C220"/>
    <mergeCell ref="B221:C221"/>
    <mergeCell ref="D221:F221"/>
    <mergeCell ref="G221:H221"/>
    <mergeCell ref="I221:J221"/>
    <mergeCell ref="K221:L221"/>
    <mergeCell ref="M221:O221"/>
    <mergeCell ref="M224:O224"/>
    <mergeCell ref="P224:Q224"/>
    <mergeCell ref="P223:Q223"/>
    <mergeCell ref="R223:T223"/>
    <mergeCell ref="D224:F224"/>
    <mergeCell ref="G224:H224"/>
    <mergeCell ref="I224:J224"/>
    <mergeCell ref="K224:L224"/>
    <mergeCell ref="R224:T224"/>
    <mergeCell ref="P233:Q233"/>
    <mergeCell ref="R233:T233"/>
    <mergeCell ref="B232:C232"/>
    <mergeCell ref="B233:C233"/>
    <mergeCell ref="D233:F233"/>
    <mergeCell ref="G233:H233"/>
    <mergeCell ref="I233:J233"/>
    <mergeCell ref="K233:L233"/>
    <mergeCell ref="M233:O233"/>
    <mergeCell ref="D234:F234"/>
    <mergeCell ref="G234:H234"/>
    <mergeCell ref="I234:J234"/>
    <mergeCell ref="K234:L234"/>
    <mergeCell ref="M234:O234"/>
    <mergeCell ref="P234:Q234"/>
    <mergeCell ref="R234:T234"/>
    <mergeCell ref="B234:C234"/>
    <mergeCell ref="B235:C235"/>
    <mergeCell ref="D235:F235"/>
    <mergeCell ref="G235:H235"/>
    <mergeCell ref="I235:J235"/>
    <mergeCell ref="K235:L235"/>
    <mergeCell ref="M235:O235"/>
    <mergeCell ref="M236:O236"/>
    <mergeCell ref="P236:Q236"/>
    <mergeCell ref="P235:Q235"/>
    <mergeCell ref="R235:T235"/>
    <mergeCell ref="D236:F236"/>
    <mergeCell ref="G236:H236"/>
    <mergeCell ref="I236:J236"/>
    <mergeCell ref="K236:L236"/>
    <mergeCell ref="R236:T236"/>
    <mergeCell ref="P237:Q237"/>
    <mergeCell ref="R237:T237"/>
    <mergeCell ref="B236:C236"/>
    <mergeCell ref="B237:C237"/>
    <mergeCell ref="D237:F237"/>
    <mergeCell ref="G237:H237"/>
    <mergeCell ref="I237:J237"/>
    <mergeCell ref="K237:L237"/>
    <mergeCell ref="M237:O237"/>
    <mergeCell ref="D24:F24"/>
    <mergeCell ref="G24:H24"/>
    <mergeCell ref="I24:J24"/>
    <mergeCell ref="K24:L24"/>
    <mergeCell ref="M24:O24"/>
    <mergeCell ref="P24:Q24"/>
    <mergeCell ref="R24:T24"/>
    <mergeCell ref="B24:C24"/>
    <mergeCell ref="B25:C25"/>
    <mergeCell ref="D25:F25"/>
    <mergeCell ref="G25:H25"/>
    <mergeCell ref="I25:J25"/>
    <mergeCell ref="K25:L25"/>
    <mergeCell ref="M25:O25"/>
    <mergeCell ref="D26:F26"/>
    <mergeCell ref="G26:H26"/>
    <mergeCell ref="I26:J26"/>
    <mergeCell ref="K26:L26"/>
    <mergeCell ref="M26:O26"/>
    <mergeCell ref="P26:Q26"/>
    <mergeCell ref="R26:T26"/>
    <mergeCell ref="P27:Q27"/>
    <mergeCell ref="R27:T27"/>
    <mergeCell ref="B26:C26"/>
    <mergeCell ref="B27:C27"/>
    <mergeCell ref="D27:F27"/>
    <mergeCell ref="G27:H27"/>
    <mergeCell ref="I27:J27"/>
    <mergeCell ref="K27:L27"/>
    <mergeCell ref="M27:O27"/>
    <mergeCell ref="P29:Q29"/>
    <mergeCell ref="R29:T29"/>
    <mergeCell ref="B238:C238"/>
    <mergeCell ref="D238:F238"/>
    <mergeCell ref="G238:H238"/>
    <mergeCell ref="I238:J238"/>
    <mergeCell ref="K238:L238"/>
    <mergeCell ref="M238:O238"/>
    <mergeCell ref="P238:Q238"/>
    <mergeCell ref="R238:T238"/>
    <mergeCell ref="D222:F222"/>
    <mergeCell ref="G222:H222"/>
    <mergeCell ref="I222:J222"/>
    <mergeCell ref="K222:L222"/>
    <mergeCell ref="M222:O222"/>
    <mergeCell ref="P222:Q222"/>
    <mergeCell ref="R222:T222"/>
    <mergeCell ref="B222:C222"/>
    <mergeCell ref="B223:C223"/>
    <mergeCell ref="D223:F223"/>
    <mergeCell ref="G223:H223"/>
    <mergeCell ref="I223:J223"/>
    <mergeCell ref="K223:L223"/>
    <mergeCell ref="M223:O223"/>
    <mergeCell ref="P225:Q225"/>
    <mergeCell ref="R225:T225"/>
    <mergeCell ref="B224:C224"/>
    <mergeCell ref="B225:C225"/>
    <mergeCell ref="D225:F225"/>
    <mergeCell ref="G225:H225"/>
    <mergeCell ref="I225:J225"/>
    <mergeCell ref="K225:L225"/>
    <mergeCell ref="M225:O225"/>
    <mergeCell ref="D226:F226"/>
    <mergeCell ref="G226:H226"/>
    <mergeCell ref="I226:J226"/>
    <mergeCell ref="K226:L226"/>
    <mergeCell ref="M226:O226"/>
    <mergeCell ref="P226:Q226"/>
    <mergeCell ref="R226:T226"/>
    <mergeCell ref="B226:C226"/>
    <mergeCell ref="B227:C227"/>
    <mergeCell ref="D227:F227"/>
    <mergeCell ref="G227:H227"/>
    <mergeCell ref="I227:J227"/>
    <mergeCell ref="K227:L227"/>
    <mergeCell ref="M227:O227"/>
    <mergeCell ref="M228:O228"/>
    <mergeCell ref="P228:Q228"/>
    <mergeCell ref="P227:Q227"/>
    <mergeCell ref="R227:T227"/>
    <mergeCell ref="D228:F228"/>
    <mergeCell ref="G228:H228"/>
    <mergeCell ref="I228:J228"/>
    <mergeCell ref="K228:L228"/>
    <mergeCell ref="R228:T228"/>
    <mergeCell ref="P229:Q229"/>
    <mergeCell ref="R229:T229"/>
    <mergeCell ref="B228:C228"/>
    <mergeCell ref="B229:C229"/>
    <mergeCell ref="D229:F229"/>
    <mergeCell ref="G229:H229"/>
    <mergeCell ref="I229:J229"/>
    <mergeCell ref="K229:L229"/>
    <mergeCell ref="M229:O229"/>
    <mergeCell ref="D230:F230"/>
    <mergeCell ref="G230:H230"/>
    <mergeCell ref="I230:J230"/>
    <mergeCell ref="K230:L230"/>
    <mergeCell ref="M230:O230"/>
    <mergeCell ref="P230:Q230"/>
    <mergeCell ref="R230:T230"/>
    <mergeCell ref="B230:C230"/>
    <mergeCell ref="B231:C231"/>
    <mergeCell ref="D231:F231"/>
    <mergeCell ref="G231:H231"/>
    <mergeCell ref="I231:J231"/>
    <mergeCell ref="K231:L231"/>
    <mergeCell ref="M231:O231"/>
    <mergeCell ref="M232:O232"/>
    <mergeCell ref="P232:Q232"/>
    <mergeCell ref="P231:Q231"/>
    <mergeCell ref="R231:T231"/>
    <mergeCell ref="D232:F232"/>
    <mergeCell ref="G232:H232"/>
    <mergeCell ref="I232:J232"/>
    <mergeCell ref="K232:L232"/>
    <mergeCell ref="R232:T232"/>
    <mergeCell ref="D138:F138"/>
    <mergeCell ref="G138:H138"/>
    <mergeCell ref="I138:J138"/>
    <mergeCell ref="K138:L138"/>
    <mergeCell ref="M138:O138"/>
    <mergeCell ref="P138:Q138"/>
    <mergeCell ref="R138:T138"/>
    <mergeCell ref="B138:C138"/>
    <mergeCell ref="B139:C139"/>
    <mergeCell ref="D139:F139"/>
    <mergeCell ref="G139:H139"/>
    <mergeCell ref="I139:J139"/>
    <mergeCell ref="K139:L139"/>
    <mergeCell ref="M139:O139"/>
    <mergeCell ref="P141:Q141"/>
    <mergeCell ref="R141:T141"/>
    <mergeCell ref="B140:C140"/>
    <mergeCell ref="B141:C141"/>
    <mergeCell ref="D141:F141"/>
    <mergeCell ref="G141:H141"/>
    <mergeCell ref="I141:J141"/>
    <mergeCell ref="K141:L141"/>
    <mergeCell ref="M141:O141"/>
    <mergeCell ref="D142:F142"/>
    <mergeCell ref="G142:H142"/>
    <mergeCell ref="I142:J142"/>
    <mergeCell ref="K142:L142"/>
    <mergeCell ref="M142:O142"/>
    <mergeCell ref="P142:Q142"/>
    <mergeCell ref="R142:T142"/>
    <mergeCell ref="B142:C142"/>
    <mergeCell ref="B143:C143"/>
    <mergeCell ref="D143:F143"/>
    <mergeCell ref="G143:H143"/>
    <mergeCell ref="I143:J143"/>
    <mergeCell ref="K143:L143"/>
    <mergeCell ref="M143:O143"/>
    <mergeCell ref="M144:O144"/>
    <mergeCell ref="P144:Q144"/>
    <mergeCell ref="P143:Q143"/>
    <mergeCell ref="R143:T143"/>
    <mergeCell ref="D144:F144"/>
    <mergeCell ref="G144:H144"/>
    <mergeCell ref="I144:J144"/>
    <mergeCell ref="K144:L144"/>
    <mergeCell ref="R144:T144"/>
    <mergeCell ref="P145:Q145"/>
    <mergeCell ref="R145:T145"/>
    <mergeCell ref="B144:C144"/>
    <mergeCell ref="B145:C145"/>
    <mergeCell ref="D145:F145"/>
    <mergeCell ref="G145:H145"/>
    <mergeCell ref="I145:J145"/>
    <mergeCell ref="K145:L145"/>
    <mergeCell ref="M145:O145"/>
    <mergeCell ref="D146:F146"/>
    <mergeCell ref="G146:H146"/>
    <mergeCell ref="I146:J146"/>
    <mergeCell ref="K146:L146"/>
    <mergeCell ref="M146:O146"/>
    <mergeCell ref="P146:Q146"/>
    <mergeCell ref="R146:T146"/>
    <mergeCell ref="B146:C146"/>
    <mergeCell ref="B147:C147"/>
    <mergeCell ref="D147:F147"/>
    <mergeCell ref="G147:H147"/>
    <mergeCell ref="I147:J147"/>
    <mergeCell ref="K147:L147"/>
    <mergeCell ref="M147:O147"/>
    <mergeCell ref="M148:O148"/>
    <mergeCell ref="P148:Q148"/>
    <mergeCell ref="P147:Q147"/>
    <mergeCell ref="R147:T147"/>
    <mergeCell ref="D148:F148"/>
    <mergeCell ref="G148:H148"/>
    <mergeCell ref="I148:J148"/>
    <mergeCell ref="K148:L148"/>
    <mergeCell ref="R148:T148"/>
    <mergeCell ref="P149:Q149"/>
    <mergeCell ref="R149:T149"/>
    <mergeCell ref="B148:C148"/>
    <mergeCell ref="B149:C149"/>
    <mergeCell ref="D149:F149"/>
    <mergeCell ref="G149:H149"/>
    <mergeCell ref="I149:J149"/>
    <mergeCell ref="K149:L149"/>
    <mergeCell ref="M149:O149"/>
    <mergeCell ref="D150:F150"/>
    <mergeCell ref="G150:H150"/>
    <mergeCell ref="I150:J150"/>
    <mergeCell ref="K150:L150"/>
    <mergeCell ref="M150:O150"/>
    <mergeCell ref="P150:Q150"/>
    <mergeCell ref="R150:T150"/>
    <mergeCell ref="B150:C150"/>
    <mergeCell ref="B151:C151"/>
    <mergeCell ref="D151:F151"/>
    <mergeCell ref="G151:H151"/>
    <mergeCell ref="I151:J151"/>
    <mergeCell ref="K151:L151"/>
    <mergeCell ref="M151:O151"/>
    <mergeCell ref="M152:O152"/>
    <mergeCell ref="P152:Q152"/>
    <mergeCell ref="P151:Q151"/>
    <mergeCell ref="R151:T151"/>
    <mergeCell ref="D152:F152"/>
    <mergeCell ref="G152:H152"/>
    <mergeCell ref="I152:J152"/>
    <mergeCell ref="K152:L152"/>
    <mergeCell ref="R152:T152"/>
    <mergeCell ref="P153:Q153"/>
    <mergeCell ref="R153:T153"/>
    <mergeCell ref="B152:C152"/>
    <mergeCell ref="B153:C153"/>
    <mergeCell ref="D153:F153"/>
    <mergeCell ref="G153:H153"/>
    <mergeCell ref="I153:J153"/>
    <mergeCell ref="K153:L153"/>
    <mergeCell ref="M153:O153"/>
    <mergeCell ref="D154:F154"/>
    <mergeCell ref="G154:H154"/>
    <mergeCell ref="I154:J154"/>
    <mergeCell ref="K154:L154"/>
    <mergeCell ref="M154:O154"/>
    <mergeCell ref="P154:Q154"/>
    <mergeCell ref="R154:T154"/>
    <mergeCell ref="B154:C154"/>
    <mergeCell ref="B155:C155"/>
    <mergeCell ref="D155:F155"/>
    <mergeCell ref="G155:H155"/>
    <mergeCell ref="I155:J155"/>
    <mergeCell ref="K155:L155"/>
    <mergeCell ref="M155:O155"/>
    <mergeCell ref="M156:O156"/>
    <mergeCell ref="P156:Q156"/>
    <mergeCell ref="P155:Q155"/>
    <mergeCell ref="R155:T155"/>
    <mergeCell ref="D156:F156"/>
    <mergeCell ref="G156:H156"/>
    <mergeCell ref="I156:J156"/>
    <mergeCell ref="K156:L156"/>
    <mergeCell ref="R156:T156"/>
    <mergeCell ref="P157:Q157"/>
    <mergeCell ref="R157:T157"/>
    <mergeCell ref="B156:C156"/>
    <mergeCell ref="B157:C157"/>
    <mergeCell ref="D157:F157"/>
    <mergeCell ref="G157:H157"/>
    <mergeCell ref="I157:J157"/>
    <mergeCell ref="K157:L157"/>
    <mergeCell ref="M157:O157"/>
    <mergeCell ref="D158:F158"/>
    <mergeCell ref="G158:H158"/>
    <mergeCell ref="I158:J158"/>
    <mergeCell ref="K158:L158"/>
    <mergeCell ref="M158:O158"/>
    <mergeCell ref="P158:Q158"/>
    <mergeCell ref="R158:T158"/>
    <mergeCell ref="B158:C158"/>
    <mergeCell ref="B159:C159"/>
    <mergeCell ref="D159:F159"/>
    <mergeCell ref="G159:H159"/>
    <mergeCell ref="I159:J159"/>
    <mergeCell ref="K159:L159"/>
    <mergeCell ref="M159:O159"/>
    <mergeCell ref="M160:O160"/>
    <mergeCell ref="P160:Q160"/>
    <mergeCell ref="P159:Q159"/>
    <mergeCell ref="R159:T159"/>
    <mergeCell ref="D160:F160"/>
    <mergeCell ref="G160:H160"/>
    <mergeCell ref="I160:J160"/>
    <mergeCell ref="K160:L160"/>
    <mergeCell ref="R160:T160"/>
    <mergeCell ref="P161:Q161"/>
    <mergeCell ref="R161:T161"/>
    <mergeCell ref="B160:C160"/>
    <mergeCell ref="B161:C161"/>
    <mergeCell ref="D161:F161"/>
    <mergeCell ref="G161:H161"/>
    <mergeCell ref="I161:J161"/>
    <mergeCell ref="K161:L161"/>
    <mergeCell ref="M161:O161"/>
    <mergeCell ref="D162:F162"/>
    <mergeCell ref="G162:H162"/>
    <mergeCell ref="I162:J162"/>
    <mergeCell ref="K162:L162"/>
    <mergeCell ref="M162:O162"/>
    <mergeCell ref="P162:Q162"/>
    <mergeCell ref="R162:T162"/>
    <mergeCell ref="B162:C162"/>
    <mergeCell ref="B163:C163"/>
    <mergeCell ref="D163:F163"/>
    <mergeCell ref="G163:H163"/>
    <mergeCell ref="I163:J163"/>
    <mergeCell ref="K163:L163"/>
    <mergeCell ref="M163:O163"/>
    <mergeCell ref="M164:O164"/>
    <mergeCell ref="P164:Q164"/>
    <mergeCell ref="P163:Q163"/>
    <mergeCell ref="R163:T163"/>
    <mergeCell ref="D164:F164"/>
    <mergeCell ref="G164:H164"/>
    <mergeCell ref="I164:J164"/>
    <mergeCell ref="K164:L164"/>
    <mergeCell ref="R164:T164"/>
    <mergeCell ref="P165:Q165"/>
    <mergeCell ref="R165:T165"/>
    <mergeCell ref="B164:C164"/>
    <mergeCell ref="B165:C165"/>
    <mergeCell ref="D165:F165"/>
    <mergeCell ref="G165:H165"/>
    <mergeCell ref="I165:J165"/>
    <mergeCell ref="K165:L165"/>
    <mergeCell ref="M165:O165"/>
    <mergeCell ref="M168:O168"/>
    <mergeCell ref="P168:Q168"/>
    <mergeCell ref="P167:Q167"/>
    <mergeCell ref="R167:T167"/>
    <mergeCell ref="D168:F168"/>
    <mergeCell ref="G168:H168"/>
    <mergeCell ref="I168:J168"/>
    <mergeCell ref="K168:L168"/>
    <mergeCell ref="R168:T168"/>
    <mergeCell ref="D166:F166"/>
    <mergeCell ref="G166:H166"/>
    <mergeCell ref="I166:J166"/>
    <mergeCell ref="K166:L166"/>
    <mergeCell ref="M166:O166"/>
    <mergeCell ref="P166:Q166"/>
    <mergeCell ref="R166:T166"/>
    <mergeCell ref="B166:C166"/>
    <mergeCell ref="B167:C167"/>
    <mergeCell ref="D167:F167"/>
    <mergeCell ref="G167:H167"/>
    <mergeCell ref="I167:J167"/>
    <mergeCell ref="K167:L167"/>
    <mergeCell ref="M167:O167"/>
    <mergeCell ref="P169:Q169"/>
    <mergeCell ref="R169:T169"/>
    <mergeCell ref="B168:C168"/>
    <mergeCell ref="B169:C169"/>
    <mergeCell ref="D169:F169"/>
    <mergeCell ref="G169:H169"/>
    <mergeCell ref="I169:J169"/>
    <mergeCell ref="K169:L169"/>
    <mergeCell ref="M169:O169"/>
    <mergeCell ref="D170:F170"/>
    <mergeCell ref="G170:H170"/>
    <mergeCell ref="I170:J170"/>
    <mergeCell ref="K170:L170"/>
    <mergeCell ref="M170:O170"/>
    <mergeCell ref="P170:Q170"/>
    <mergeCell ref="R170:T170"/>
    <mergeCell ref="B170:C170"/>
    <mergeCell ref="B171:C171"/>
    <mergeCell ref="D171:F171"/>
    <mergeCell ref="G171:H171"/>
    <mergeCell ref="I171:J171"/>
    <mergeCell ref="K171:L171"/>
    <mergeCell ref="M171:O171"/>
    <mergeCell ref="M172:O172"/>
    <mergeCell ref="P172:Q172"/>
    <mergeCell ref="P171:Q171"/>
    <mergeCell ref="R171:T171"/>
    <mergeCell ref="D172:F172"/>
    <mergeCell ref="G172:H172"/>
    <mergeCell ref="I172:J172"/>
    <mergeCell ref="K172:L172"/>
    <mergeCell ref="R172:T172"/>
    <mergeCell ref="P173:Q173"/>
    <mergeCell ref="R173:T173"/>
    <mergeCell ref="B172:C172"/>
    <mergeCell ref="B173:C173"/>
    <mergeCell ref="D173:F173"/>
    <mergeCell ref="G173:H173"/>
    <mergeCell ref="I173:J173"/>
    <mergeCell ref="K173:L173"/>
    <mergeCell ref="M173:O173"/>
    <mergeCell ref="D174:F174"/>
    <mergeCell ref="G174:H174"/>
    <mergeCell ref="I174:J174"/>
    <mergeCell ref="K174:L174"/>
    <mergeCell ref="M174:O174"/>
    <mergeCell ref="P174:Q174"/>
    <mergeCell ref="R174:T174"/>
    <mergeCell ref="B174:C174"/>
    <mergeCell ref="B175:C175"/>
    <mergeCell ref="D175:F175"/>
    <mergeCell ref="G175:H175"/>
    <mergeCell ref="I175:J175"/>
    <mergeCell ref="K175:L175"/>
    <mergeCell ref="M175:O175"/>
    <mergeCell ref="M176:O176"/>
    <mergeCell ref="P176:Q176"/>
    <mergeCell ref="P175:Q175"/>
    <mergeCell ref="R175:T175"/>
    <mergeCell ref="D176:F176"/>
    <mergeCell ref="G176:H176"/>
    <mergeCell ref="I176:J176"/>
    <mergeCell ref="K176:L176"/>
    <mergeCell ref="R176:T176"/>
    <mergeCell ref="P177:Q177"/>
    <mergeCell ref="R177:T177"/>
    <mergeCell ref="B176:C176"/>
    <mergeCell ref="B177:C177"/>
    <mergeCell ref="D177:F177"/>
    <mergeCell ref="G177:H177"/>
    <mergeCell ref="I177:J177"/>
    <mergeCell ref="K177:L177"/>
    <mergeCell ref="M177:O177"/>
    <mergeCell ref="D178:F178"/>
    <mergeCell ref="G178:H178"/>
    <mergeCell ref="I178:J178"/>
    <mergeCell ref="K178:L178"/>
    <mergeCell ref="M178:O178"/>
    <mergeCell ref="P178:Q178"/>
    <mergeCell ref="R178:T178"/>
    <mergeCell ref="B178:C178"/>
    <mergeCell ref="B179:C179"/>
    <mergeCell ref="D179:F179"/>
    <mergeCell ref="G179:H179"/>
    <mergeCell ref="I179:J179"/>
    <mergeCell ref="K179:L179"/>
    <mergeCell ref="M179:O179"/>
    <mergeCell ref="M180:O180"/>
    <mergeCell ref="P180:Q180"/>
    <mergeCell ref="P179:Q179"/>
    <mergeCell ref="R179:T179"/>
    <mergeCell ref="D180:F180"/>
    <mergeCell ref="G180:H180"/>
    <mergeCell ref="I180:J180"/>
    <mergeCell ref="K180:L180"/>
    <mergeCell ref="R180:T180"/>
    <mergeCell ref="P181:Q181"/>
    <mergeCell ref="R181:T181"/>
    <mergeCell ref="B180:C180"/>
    <mergeCell ref="B181:C181"/>
    <mergeCell ref="D181:F181"/>
    <mergeCell ref="G181:H181"/>
    <mergeCell ref="I181:J181"/>
    <mergeCell ref="K181:L181"/>
    <mergeCell ref="M181:O181"/>
    <mergeCell ref="D182:F182"/>
    <mergeCell ref="G182:H182"/>
    <mergeCell ref="I182:J182"/>
    <mergeCell ref="K182:L182"/>
    <mergeCell ref="M182:O182"/>
    <mergeCell ref="P182:Q182"/>
    <mergeCell ref="R182:T182"/>
    <mergeCell ref="B182:C182"/>
    <mergeCell ref="B183:C183"/>
    <mergeCell ref="D183:F183"/>
    <mergeCell ref="G183:H183"/>
    <mergeCell ref="I183:J183"/>
    <mergeCell ref="K183:L183"/>
    <mergeCell ref="M183:O183"/>
    <mergeCell ref="M184:O184"/>
    <mergeCell ref="P184:Q184"/>
    <mergeCell ref="P183:Q183"/>
    <mergeCell ref="R183:T183"/>
    <mergeCell ref="D184:F184"/>
    <mergeCell ref="G184:H184"/>
    <mergeCell ref="I184:J184"/>
    <mergeCell ref="K184:L184"/>
    <mergeCell ref="R184:T184"/>
    <mergeCell ref="P185:Q185"/>
    <mergeCell ref="R185:T185"/>
    <mergeCell ref="B184:C184"/>
    <mergeCell ref="B185:C185"/>
    <mergeCell ref="D185:F185"/>
    <mergeCell ref="G185:H185"/>
    <mergeCell ref="I185:J185"/>
    <mergeCell ref="K185:L185"/>
    <mergeCell ref="M185:O185"/>
    <mergeCell ref="D186:F186"/>
    <mergeCell ref="G186:H186"/>
    <mergeCell ref="I186:J186"/>
    <mergeCell ref="K186:L186"/>
    <mergeCell ref="M186:O186"/>
    <mergeCell ref="P186:Q186"/>
    <mergeCell ref="R186:T186"/>
    <mergeCell ref="B186:C186"/>
    <mergeCell ref="B187:C187"/>
    <mergeCell ref="D187:F187"/>
    <mergeCell ref="G187:H187"/>
    <mergeCell ref="I187:J187"/>
    <mergeCell ref="K187:L187"/>
    <mergeCell ref="M187:O187"/>
    <mergeCell ref="M188:O188"/>
    <mergeCell ref="P188:Q188"/>
    <mergeCell ref="P187:Q187"/>
    <mergeCell ref="R187:T187"/>
    <mergeCell ref="D188:F188"/>
    <mergeCell ref="G188:H188"/>
    <mergeCell ref="I188:J188"/>
    <mergeCell ref="K188:L188"/>
    <mergeCell ref="R188:T188"/>
    <mergeCell ref="P189:Q189"/>
    <mergeCell ref="R189:T189"/>
    <mergeCell ref="B188:C188"/>
    <mergeCell ref="B189:C189"/>
    <mergeCell ref="D189:F189"/>
    <mergeCell ref="G189:H189"/>
    <mergeCell ref="I189:J189"/>
    <mergeCell ref="K189:L189"/>
    <mergeCell ref="M189:O189"/>
    <mergeCell ref="D190:F190"/>
    <mergeCell ref="G190:H190"/>
    <mergeCell ref="I190:J190"/>
    <mergeCell ref="K190:L190"/>
    <mergeCell ref="M190:O190"/>
    <mergeCell ref="P190:Q190"/>
    <mergeCell ref="R190:T190"/>
    <mergeCell ref="B190:C190"/>
    <mergeCell ref="B191:C191"/>
    <mergeCell ref="D191:F191"/>
    <mergeCell ref="G191:H191"/>
    <mergeCell ref="I191:J191"/>
    <mergeCell ref="K191:L191"/>
    <mergeCell ref="M191:O191"/>
    <mergeCell ref="M192:O192"/>
    <mergeCell ref="P192:Q192"/>
    <mergeCell ref="P191:Q191"/>
    <mergeCell ref="R191:T191"/>
    <mergeCell ref="D192:F192"/>
    <mergeCell ref="G192:H192"/>
    <mergeCell ref="I192:J192"/>
    <mergeCell ref="K192:L192"/>
    <mergeCell ref="R192:T192"/>
    <mergeCell ref="P193:Q193"/>
    <mergeCell ref="R193:T193"/>
    <mergeCell ref="B192:C192"/>
    <mergeCell ref="B193:C193"/>
    <mergeCell ref="D193:F193"/>
    <mergeCell ref="G193:H193"/>
    <mergeCell ref="I193:J193"/>
    <mergeCell ref="K193:L193"/>
    <mergeCell ref="M193:O193"/>
    <mergeCell ref="M196:O196"/>
    <mergeCell ref="P196:Q196"/>
    <mergeCell ref="P195:Q195"/>
    <mergeCell ref="R195:T195"/>
    <mergeCell ref="D196:F196"/>
    <mergeCell ref="G196:H196"/>
    <mergeCell ref="I196:J196"/>
    <mergeCell ref="K196:L196"/>
    <mergeCell ref="R196:T196"/>
    <mergeCell ref="D194:F194"/>
    <mergeCell ref="G194:H194"/>
    <mergeCell ref="I194:J194"/>
    <mergeCell ref="K194:L194"/>
    <mergeCell ref="M194:O194"/>
    <mergeCell ref="P194:Q194"/>
    <mergeCell ref="R194:T194"/>
    <mergeCell ref="B194:C194"/>
    <mergeCell ref="B195:C195"/>
    <mergeCell ref="D195:F195"/>
    <mergeCell ref="G195:H195"/>
    <mergeCell ref="I195:J195"/>
    <mergeCell ref="K195:L195"/>
    <mergeCell ref="M195:O195"/>
    <mergeCell ref="P197:Q197"/>
    <mergeCell ref="R197:T197"/>
    <mergeCell ref="B196:C196"/>
    <mergeCell ref="B197:C197"/>
    <mergeCell ref="D197:F197"/>
    <mergeCell ref="G197:H197"/>
    <mergeCell ref="I197:J197"/>
    <mergeCell ref="K197:L197"/>
    <mergeCell ref="M197:O197"/>
    <mergeCell ref="D198:F198"/>
    <mergeCell ref="G198:H198"/>
    <mergeCell ref="I198:J198"/>
    <mergeCell ref="K198:L198"/>
    <mergeCell ref="M198:O198"/>
    <mergeCell ref="P198:Q198"/>
    <mergeCell ref="R198:T198"/>
    <mergeCell ref="B198:C198"/>
    <mergeCell ref="B199:C199"/>
    <mergeCell ref="D199:F199"/>
    <mergeCell ref="G199:H199"/>
    <mergeCell ref="I199:J199"/>
    <mergeCell ref="K199:L199"/>
    <mergeCell ref="M199:O199"/>
    <mergeCell ref="M200:O200"/>
    <mergeCell ref="P200:Q200"/>
    <mergeCell ref="P199:Q199"/>
    <mergeCell ref="R199:T199"/>
    <mergeCell ref="D200:F200"/>
    <mergeCell ref="G200:H200"/>
    <mergeCell ref="I200:J200"/>
    <mergeCell ref="K200:L200"/>
    <mergeCell ref="R200:T200"/>
    <mergeCell ref="P201:Q201"/>
    <mergeCell ref="R201:T201"/>
    <mergeCell ref="B200:C200"/>
    <mergeCell ref="B201:C201"/>
    <mergeCell ref="D201:F201"/>
    <mergeCell ref="G201:H201"/>
    <mergeCell ref="I201:J201"/>
    <mergeCell ref="K201:L201"/>
    <mergeCell ref="M201:O201"/>
    <mergeCell ref="D202:F202"/>
    <mergeCell ref="G202:H202"/>
    <mergeCell ref="I202:J202"/>
    <mergeCell ref="K202:L202"/>
    <mergeCell ref="M202:O202"/>
    <mergeCell ref="P202:Q202"/>
    <mergeCell ref="R202:T202"/>
    <mergeCell ref="B202:C202"/>
    <mergeCell ref="B203:C203"/>
    <mergeCell ref="D203:F203"/>
    <mergeCell ref="G203:H203"/>
    <mergeCell ref="I203:J203"/>
    <mergeCell ref="K203:L203"/>
    <mergeCell ref="M203:O203"/>
    <mergeCell ref="M204:O204"/>
    <mergeCell ref="P204:Q204"/>
    <mergeCell ref="P203:Q203"/>
    <mergeCell ref="R203:T203"/>
    <mergeCell ref="D204:F204"/>
    <mergeCell ref="G204:H204"/>
    <mergeCell ref="I204:J204"/>
    <mergeCell ref="K204:L204"/>
    <mergeCell ref="R204:T204"/>
    <mergeCell ref="U234:W234"/>
    <mergeCell ref="X234:Y234"/>
    <mergeCell ref="Z234:AA234"/>
    <mergeCell ref="AB234:AD234"/>
    <mergeCell ref="X235:Y235"/>
    <mergeCell ref="Z235:AA235"/>
    <mergeCell ref="AB235:AD235"/>
    <mergeCell ref="U235:W235"/>
    <mergeCell ref="U236:W236"/>
    <mergeCell ref="X236:Y236"/>
    <mergeCell ref="Z236:AA236"/>
    <mergeCell ref="AB236:AD236"/>
    <mergeCell ref="U237:W237"/>
    <mergeCell ref="X237:Y237"/>
    <mergeCell ref="X61:Y61"/>
    <mergeCell ref="Z61:AA61"/>
    <mergeCell ref="AB61:AD61"/>
    <mergeCell ref="X62:Y62"/>
    <mergeCell ref="Z62:AA62"/>
    <mergeCell ref="AB62:AD62"/>
    <mergeCell ref="X63:Y63"/>
    <mergeCell ref="X67:Y67"/>
    <mergeCell ref="Z67:AA67"/>
    <mergeCell ref="Z63:AA63"/>
    <mergeCell ref="AB63:AD63"/>
    <mergeCell ref="U66:W66"/>
    <mergeCell ref="X66:Y66"/>
    <mergeCell ref="Z66:AA66"/>
    <mergeCell ref="AB66:AD66"/>
    <mergeCell ref="AB67:AD67"/>
    <mergeCell ref="Z69:AA69"/>
    <mergeCell ref="AB69:AD69"/>
    <mergeCell ref="U67:W67"/>
    <mergeCell ref="U68:W68"/>
    <mergeCell ref="X68:Y68"/>
    <mergeCell ref="Z68:AA68"/>
    <mergeCell ref="AB68:AD68"/>
    <mergeCell ref="U69:W69"/>
    <mergeCell ref="X69:Y69"/>
    <mergeCell ref="Z73:AA73"/>
    <mergeCell ref="AB73:AD73"/>
    <mergeCell ref="Z237:AA237"/>
    <mergeCell ref="AB237:AD237"/>
    <mergeCell ref="U238:W238"/>
    <mergeCell ref="X238:Y238"/>
    <mergeCell ref="Z238:AA238"/>
    <mergeCell ref="AB238:AD238"/>
    <mergeCell ref="U210:W210"/>
    <mergeCell ref="X210:Y210"/>
    <mergeCell ref="Z210:AA210"/>
    <mergeCell ref="AB210:AD210"/>
    <mergeCell ref="X211:Y211"/>
    <mergeCell ref="Z211:AA211"/>
    <mergeCell ref="AB211:AD211"/>
    <mergeCell ref="U211:W211"/>
    <mergeCell ref="U212:W212"/>
    <mergeCell ref="X212:Y212"/>
    <mergeCell ref="Z212:AA212"/>
    <mergeCell ref="AB212:AD212"/>
    <mergeCell ref="U213:W213"/>
    <mergeCell ref="X213:Y213"/>
    <mergeCell ref="U218:W218"/>
    <mergeCell ref="X218:Y218"/>
    <mergeCell ref="Z218:AA218"/>
    <mergeCell ref="AB218:AD218"/>
    <mergeCell ref="X219:Y219"/>
    <mergeCell ref="Z219:AA219"/>
    <mergeCell ref="AB219:AD219"/>
    <mergeCell ref="U219:W219"/>
    <mergeCell ref="U220:W220"/>
    <mergeCell ref="X220:Y220"/>
    <mergeCell ref="Z220:AA220"/>
    <mergeCell ref="AB220:AD220"/>
    <mergeCell ref="U221:W221"/>
    <mergeCell ref="X221:Y221"/>
    <mergeCell ref="X223:Y223"/>
    <mergeCell ref="Z223:AA223"/>
    <mergeCell ref="Z221:AA221"/>
    <mergeCell ref="AB221:AD221"/>
    <mergeCell ref="U222:W222"/>
    <mergeCell ref="X222:Y222"/>
    <mergeCell ref="Z222:AA222"/>
    <mergeCell ref="AB222:AD222"/>
    <mergeCell ref="AB223:AD223"/>
    <mergeCell ref="Z225:AA225"/>
    <mergeCell ref="AB225:AD225"/>
    <mergeCell ref="U223:W223"/>
    <mergeCell ref="U224:W224"/>
    <mergeCell ref="X224:Y224"/>
    <mergeCell ref="Z224:AA224"/>
    <mergeCell ref="AB224:AD224"/>
    <mergeCell ref="U225:W225"/>
    <mergeCell ref="X225:Y225"/>
    <mergeCell ref="U226:W226"/>
    <mergeCell ref="X226:Y226"/>
    <mergeCell ref="Z226:AA226"/>
    <mergeCell ref="AB226:AD226"/>
    <mergeCell ref="X227:Y227"/>
    <mergeCell ref="Z227:AA227"/>
    <mergeCell ref="AB227:AD227"/>
    <mergeCell ref="U227:W227"/>
    <mergeCell ref="U228:W228"/>
    <mergeCell ref="X228:Y228"/>
    <mergeCell ref="Z228:AA228"/>
    <mergeCell ref="AB228:AD228"/>
    <mergeCell ref="U229:W229"/>
    <mergeCell ref="X229:Y229"/>
    <mergeCell ref="X231:Y231"/>
    <mergeCell ref="Z231:AA231"/>
    <mergeCell ref="Z229:AA229"/>
    <mergeCell ref="AB229:AD229"/>
    <mergeCell ref="U230:W230"/>
    <mergeCell ref="X230:Y230"/>
    <mergeCell ref="Z230:AA230"/>
    <mergeCell ref="AB230:AD230"/>
    <mergeCell ref="AB231:AD231"/>
    <mergeCell ref="Z233:AA233"/>
    <mergeCell ref="AB233:AD233"/>
    <mergeCell ref="U231:W231"/>
    <mergeCell ref="U232:W232"/>
    <mergeCell ref="X232:Y232"/>
    <mergeCell ref="Z232:AA232"/>
    <mergeCell ref="AB232:AD232"/>
    <mergeCell ref="U233:W233"/>
    <mergeCell ref="X233:Y233"/>
    <mergeCell ref="U82:W82"/>
    <mergeCell ref="X82:Y82"/>
    <mergeCell ref="Z82:AA82"/>
    <mergeCell ref="AB82:AD82"/>
    <mergeCell ref="X83:Y83"/>
    <mergeCell ref="Z83:AA83"/>
    <mergeCell ref="AB83:AD83"/>
    <mergeCell ref="U83:W83"/>
    <mergeCell ref="U84:W84"/>
    <mergeCell ref="X84:Y84"/>
    <mergeCell ref="Z84:AA84"/>
    <mergeCell ref="AB84:AD84"/>
    <mergeCell ref="U85:W85"/>
    <mergeCell ref="X85:Y85"/>
    <mergeCell ref="Z89:AA89"/>
    <mergeCell ref="AB89:AD89"/>
    <mergeCell ref="U87:W87"/>
    <mergeCell ref="U88:W88"/>
    <mergeCell ref="X88:Y88"/>
    <mergeCell ref="Z88:AA88"/>
    <mergeCell ref="AB88:AD88"/>
    <mergeCell ref="U89:W89"/>
    <mergeCell ref="X89:Y89"/>
    <mergeCell ref="U90:W90"/>
    <mergeCell ref="X90:Y90"/>
    <mergeCell ref="Z90:AA90"/>
    <mergeCell ref="AB90:AD90"/>
    <mergeCell ref="X91:Y91"/>
    <mergeCell ref="Z91:AA91"/>
    <mergeCell ref="AB91:AD91"/>
    <mergeCell ref="U91:W91"/>
    <mergeCell ref="U92:W92"/>
    <mergeCell ref="X92:Y92"/>
    <mergeCell ref="Z92:AA92"/>
    <mergeCell ref="AB92:AD92"/>
    <mergeCell ref="U93:W93"/>
    <mergeCell ref="X93:Y93"/>
    <mergeCell ref="X95:Y95"/>
    <mergeCell ref="Z95:AA95"/>
    <mergeCell ref="Z93:AA93"/>
    <mergeCell ref="AB93:AD93"/>
    <mergeCell ref="U94:W94"/>
    <mergeCell ref="X94:Y94"/>
    <mergeCell ref="Z94:AA94"/>
    <mergeCell ref="AB94:AD94"/>
    <mergeCell ref="AB95:AD95"/>
    <mergeCell ref="Z97:AA97"/>
    <mergeCell ref="AB97:AD97"/>
    <mergeCell ref="U95:W95"/>
    <mergeCell ref="U96:W96"/>
    <mergeCell ref="X96:Y96"/>
    <mergeCell ref="Z96:AA96"/>
    <mergeCell ref="AB96:AD96"/>
    <mergeCell ref="U97:W97"/>
    <mergeCell ref="X97:Y97"/>
    <mergeCell ref="X103:Y103"/>
    <mergeCell ref="Z103:AA103"/>
    <mergeCell ref="Z101:AA101"/>
    <mergeCell ref="AB101:AD101"/>
    <mergeCell ref="U102:W102"/>
    <mergeCell ref="X102:Y102"/>
    <mergeCell ref="Z102:AA102"/>
    <mergeCell ref="AB102:AD102"/>
    <mergeCell ref="AB103:AD103"/>
    <mergeCell ref="Z105:AA105"/>
    <mergeCell ref="AB105:AD105"/>
    <mergeCell ref="U103:W103"/>
    <mergeCell ref="U104:W104"/>
    <mergeCell ref="X104:Y104"/>
    <mergeCell ref="Z104:AA104"/>
    <mergeCell ref="AB104:AD104"/>
    <mergeCell ref="U105:W105"/>
    <mergeCell ref="X105:Y105"/>
    <mergeCell ref="U98:W98"/>
    <mergeCell ref="X98:Y98"/>
    <mergeCell ref="Z98:AA98"/>
    <mergeCell ref="AB98:AD98"/>
    <mergeCell ref="X99:Y99"/>
    <mergeCell ref="Z99:AA99"/>
    <mergeCell ref="AB99:AD99"/>
    <mergeCell ref="U99:W99"/>
    <mergeCell ref="U100:W100"/>
    <mergeCell ref="X100:Y100"/>
    <mergeCell ref="Z100:AA100"/>
    <mergeCell ref="AB100:AD100"/>
    <mergeCell ref="U101:W101"/>
    <mergeCell ref="X101:Y101"/>
    <mergeCell ref="U106:W106"/>
    <mergeCell ref="X106:Y106"/>
    <mergeCell ref="Z106:AA106"/>
    <mergeCell ref="AB106:AD106"/>
    <mergeCell ref="X107:Y107"/>
    <mergeCell ref="Z107:AA107"/>
    <mergeCell ref="AB107:AD107"/>
    <mergeCell ref="U107:W107"/>
    <mergeCell ref="U108:W108"/>
    <mergeCell ref="X108:Y108"/>
    <mergeCell ref="Z108:AA108"/>
    <mergeCell ref="AB108:AD108"/>
    <mergeCell ref="U109:W109"/>
    <mergeCell ref="X109:Y109"/>
    <mergeCell ref="X111:Y111"/>
    <mergeCell ref="Z111:AA111"/>
    <mergeCell ref="Z109:AA109"/>
    <mergeCell ref="AB109:AD109"/>
    <mergeCell ref="U110:W110"/>
    <mergeCell ref="X110:Y110"/>
    <mergeCell ref="Z110:AA110"/>
    <mergeCell ref="AB110:AD110"/>
    <mergeCell ref="AB111:AD111"/>
    <mergeCell ref="Z113:AA113"/>
    <mergeCell ref="AB113:AD113"/>
    <mergeCell ref="U111:W111"/>
    <mergeCell ref="U112:W112"/>
    <mergeCell ref="X112:Y112"/>
    <mergeCell ref="Z112:AA112"/>
    <mergeCell ref="AB112:AD112"/>
    <mergeCell ref="U113:W113"/>
    <mergeCell ref="X113:Y113"/>
    <mergeCell ref="U114:W114"/>
    <mergeCell ref="X114:Y114"/>
    <mergeCell ref="Z114:AA114"/>
    <mergeCell ref="AB114:AD114"/>
    <mergeCell ref="X115:Y115"/>
    <mergeCell ref="Z115:AA115"/>
    <mergeCell ref="AB115:AD115"/>
    <mergeCell ref="U115:W115"/>
    <mergeCell ref="U116:W116"/>
    <mergeCell ref="X116:Y116"/>
    <mergeCell ref="Z116:AA116"/>
    <mergeCell ref="AB116:AD116"/>
    <mergeCell ref="U117:W117"/>
    <mergeCell ref="X117:Y117"/>
    <mergeCell ref="X119:Y119"/>
    <mergeCell ref="Z119:AA119"/>
    <mergeCell ref="Z117:AA117"/>
    <mergeCell ref="AB117:AD117"/>
    <mergeCell ref="U118:W118"/>
    <mergeCell ref="X118:Y118"/>
    <mergeCell ref="Z118:AA118"/>
    <mergeCell ref="AB118:AD118"/>
    <mergeCell ref="AB119:AD119"/>
    <mergeCell ref="Z121:AA121"/>
    <mergeCell ref="AB121:AD121"/>
    <mergeCell ref="U119:W119"/>
    <mergeCell ref="U120:W120"/>
    <mergeCell ref="X120:Y120"/>
    <mergeCell ref="Z120:AA120"/>
    <mergeCell ref="AB120:AD120"/>
    <mergeCell ref="U121:W121"/>
    <mergeCell ref="X121:Y121"/>
    <mergeCell ref="U122:W122"/>
    <mergeCell ref="X122:Y122"/>
    <mergeCell ref="Z122:AA122"/>
    <mergeCell ref="AB122:AD122"/>
    <mergeCell ref="X123:Y123"/>
    <mergeCell ref="Z123:AA123"/>
    <mergeCell ref="AB123:AD123"/>
    <mergeCell ref="U123:W123"/>
    <mergeCell ref="U124:W124"/>
    <mergeCell ref="X124:Y124"/>
    <mergeCell ref="Z124:AA124"/>
    <mergeCell ref="AB124:AD124"/>
    <mergeCell ref="U125:W125"/>
    <mergeCell ref="X125:Y125"/>
    <mergeCell ref="X127:Y127"/>
    <mergeCell ref="Z127:AA127"/>
    <mergeCell ref="Z125:AA125"/>
    <mergeCell ref="AB125:AD125"/>
    <mergeCell ref="U126:W126"/>
    <mergeCell ref="X126:Y126"/>
    <mergeCell ref="Z126:AA126"/>
    <mergeCell ref="AB126:AD126"/>
    <mergeCell ref="AB127:AD127"/>
    <mergeCell ref="Z129:AA129"/>
    <mergeCell ref="AB129:AD129"/>
    <mergeCell ref="U127:W127"/>
    <mergeCell ref="U128:W128"/>
    <mergeCell ref="X128:Y128"/>
    <mergeCell ref="Z128:AA128"/>
    <mergeCell ref="AB128:AD128"/>
    <mergeCell ref="U129:W129"/>
    <mergeCell ref="X129:Y129"/>
    <mergeCell ref="U130:W130"/>
    <mergeCell ref="X130:Y130"/>
    <mergeCell ref="Z130:AA130"/>
    <mergeCell ref="AB130:AD130"/>
    <mergeCell ref="X131:Y131"/>
    <mergeCell ref="Z131:AA131"/>
    <mergeCell ref="AB131:AD131"/>
    <mergeCell ref="U131:W131"/>
    <mergeCell ref="U132:W132"/>
    <mergeCell ref="X132:Y132"/>
    <mergeCell ref="Z132:AA132"/>
    <mergeCell ref="AB132:AD132"/>
    <mergeCell ref="U133:W133"/>
    <mergeCell ref="X133:Y133"/>
    <mergeCell ref="X135:Y135"/>
    <mergeCell ref="Z135:AA135"/>
    <mergeCell ref="Z133:AA133"/>
    <mergeCell ref="AB133:AD133"/>
    <mergeCell ref="U134:W134"/>
    <mergeCell ref="X134:Y134"/>
    <mergeCell ref="Z134:AA134"/>
    <mergeCell ref="AB134:AD134"/>
    <mergeCell ref="AB135:AD135"/>
    <mergeCell ref="Z137:AA137"/>
    <mergeCell ref="AB137:AD137"/>
    <mergeCell ref="U135:W135"/>
    <mergeCell ref="U136:W136"/>
    <mergeCell ref="X136:Y136"/>
    <mergeCell ref="Z136:AA136"/>
    <mergeCell ref="AB136:AD136"/>
    <mergeCell ref="U137:W137"/>
    <mergeCell ref="X137:Y137"/>
    <mergeCell ref="X143:Y143"/>
    <mergeCell ref="Z143:AA143"/>
    <mergeCell ref="Z141:AA141"/>
    <mergeCell ref="AB141:AD141"/>
    <mergeCell ref="U142:W142"/>
    <mergeCell ref="X142:Y142"/>
    <mergeCell ref="Z142:AA142"/>
    <mergeCell ref="AB142:AD142"/>
    <mergeCell ref="AB143:AD143"/>
    <mergeCell ref="U138:W138"/>
    <mergeCell ref="X138:Y138"/>
    <mergeCell ref="Z138:AA138"/>
    <mergeCell ref="AB138:AD138"/>
    <mergeCell ref="X139:Y139"/>
    <mergeCell ref="Z139:AA139"/>
    <mergeCell ref="AB139:AD139"/>
    <mergeCell ref="U139:W139"/>
    <mergeCell ref="U140:W140"/>
    <mergeCell ref="X140:Y140"/>
    <mergeCell ref="Z140:AA140"/>
    <mergeCell ref="AB140:AD140"/>
    <mergeCell ref="U141:W141"/>
    <mergeCell ref="X141:Y141"/>
    <mergeCell ref="Z145:AA145"/>
    <mergeCell ref="AB145:AD145"/>
    <mergeCell ref="U143:W143"/>
    <mergeCell ref="U144:W144"/>
    <mergeCell ref="X144:Y144"/>
    <mergeCell ref="Z144:AA144"/>
    <mergeCell ref="AB144:AD144"/>
    <mergeCell ref="U145:W145"/>
    <mergeCell ref="X145:Y145"/>
    <mergeCell ref="U146:W146"/>
    <mergeCell ref="X146:Y146"/>
    <mergeCell ref="Z146:AA146"/>
    <mergeCell ref="AB146:AD146"/>
    <mergeCell ref="X147:Y147"/>
    <mergeCell ref="Z147:AA147"/>
    <mergeCell ref="AB147:AD147"/>
    <mergeCell ref="U147:W147"/>
    <mergeCell ref="U148:W148"/>
    <mergeCell ref="X148:Y148"/>
    <mergeCell ref="Z148:AA148"/>
    <mergeCell ref="AB148:AD148"/>
    <mergeCell ref="U149:W149"/>
    <mergeCell ref="X149:Y149"/>
    <mergeCell ref="X151:Y151"/>
    <mergeCell ref="Z151:AA151"/>
    <mergeCell ref="Z149:AA149"/>
    <mergeCell ref="AB149:AD149"/>
    <mergeCell ref="U150:W150"/>
    <mergeCell ref="X150:Y150"/>
    <mergeCell ref="Z150:AA150"/>
    <mergeCell ref="AB150:AD150"/>
    <mergeCell ref="AB151:AD151"/>
    <mergeCell ref="Z153:AA153"/>
    <mergeCell ref="AB153:AD153"/>
    <mergeCell ref="U151:W151"/>
    <mergeCell ref="U152:W152"/>
    <mergeCell ref="X152:Y152"/>
    <mergeCell ref="Z152:AA152"/>
    <mergeCell ref="AB152:AD152"/>
    <mergeCell ref="U153:W153"/>
    <mergeCell ref="X153:Y153"/>
    <mergeCell ref="X159:Y159"/>
    <mergeCell ref="Z159:AA159"/>
    <mergeCell ref="Z157:AA157"/>
    <mergeCell ref="AB157:AD157"/>
    <mergeCell ref="U158:W158"/>
    <mergeCell ref="X158:Y158"/>
    <mergeCell ref="Z158:AA158"/>
    <mergeCell ref="AB158:AD158"/>
    <mergeCell ref="AB159:AD159"/>
    <mergeCell ref="Z161:AA161"/>
    <mergeCell ref="AB161:AD161"/>
    <mergeCell ref="U159:W159"/>
    <mergeCell ref="U160:W160"/>
    <mergeCell ref="X160:Y160"/>
    <mergeCell ref="Z160:AA160"/>
    <mergeCell ref="AB160:AD160"/>
    <mergeCell ref="U161:W161"/>
    <mergeCell ref="X161:Y161"/>
    <mergeCell ref="U154:W154"/>
    <mergeCell ref="X154:Y154"/>
    <mergeCell ref="Z154:AA154"/>
    <mergeCell ref="AB154:AD154"/>
    <mergeCell ref="X155:Y155"/>
    <mergeCell ref="Z155:AA155"/>
    <mergeCell ref="AB155:AD155"/>
    <mergeCell ref="U155:W155"/>
    <mergeCell ref="U156:W156"/>
    <mergeCell ref="X156:Y156"/>
    <mergeCell ref="Z156:AA156"/>
    <mergeCell ref="AB156:AD156"/>
    <mergeCell ref="U157:W157"/>
    <mergeCell ref="X157:Y157"/>
    <mergeCell ref="U162:W162"/>
    <mergeCell ref="X162:Y162"/>
    <mergeCell ref="Z162:AA162"/>
    <mergeCell ref="AB162:AD162"/>
    <mergeCell ref="X163:Y163"/>
    <mergeCell ref="Z163:AA163"/>
    <mergeCell ref="AB163:AD163"/>
    <mergeCell ref="U163:W163"/>
    <mergeCell ref="U164:W164"/>
    <mergeCell ref="X164:Y164"/>
    <mergeCell ref="Z164:AA164"/>
    <mergeCell ref="AB164:AD164"/>
    <mergeCell ref="U165:W165"/>
    <mergeCell ref="X165:Y165"/>
    <mergeCell ref="X167:Y167"/>
    <mergeCell ref="Z167:AA167"/>
    <mergeCell ref="Z165:AA165"/>
    <mergeCell ref="AB165:AD165"/>
    <mergeCell ref="U166:W166"/>
    <mergeCell ref="X166:Y166"/>
    <mergeCell ref="Z166:AA166"/>
    <mergeCell ref="AB166:AD166"/>
    <mergeCell ref="AB167:AD167"/>
    <mergeCell ref="Z169:AA169"/>
    <mergeCell ref="AB169:AD169"/>
    <mergeCell ref="U167:W167"/>
    <mergeCell ref="U168:W168"/>
    <mergeCell ref="X168:Y168"/>
    <mergeCell ref="Z168:AA168"/>
    <mergeCell ref="AB168:AD168"/>
    <mergeCell ref="U169:W169"/>
    <mergeCell ref="X169:Y169"/>
    <mergeCell ref="U170:W170"/>
    <mergeCell ref="X170:Y170"/>
    <mergeCell ref="Z170:AA170"/>
    <mergeCell ref="AB170:AD170"/>
    <mergeCell ref="X171:Y171"/>
    <mergeCell ref="Z171:AA171"/>
    <mergeCell ref="AB171:AD171"/>
    <mergeCell ref="U171:W171"/>
    <mergeCell ref="U172:W172"/>
    <mergeCell ref="X172:Y172"/>
    <mergeCell ref="Z172:AA172"/>
    <mergeCell ref="AB172:AD172"/>
    <mergeCell ref="U173:W173"/>
    <mergeCell ref="X173:Y173"/>
    <mergeCell ref="X175:Y175"/>
    <mergeCell ref="Z175:AA175"/>
    <mergeCell ref="Z173:AA173"/>
    <mergeCell ref="AB173:AD173"/>
    <mergeCell ref="U174:W174"/>
    <mergeCell ref="X174:Y174"/>
    <mergeCell ref="Z174:AA174"/>
    <mergeCell ref="AB174:AD174"/>
    <mergeCell ref="AB175:AD175"/>
    <mergeCell ref="Z177:AA177"/>
    <mergeCell ref="AB177:AD177"/>
    <mergeCell ref="U175:W175"/>
    <mergeCell ref="U176:W176"/>
    <mergeCell ref="X176:Y176"/>
    <mergeCell ref="Z176:AA176"/>
    <mergeCell ref="AB176:AD176"/>
    <mergeCell ref="U177:W177"/>
    <mergeCell ref="X177:Y177"/>
    <mergeCell ref="U178:W178"/>
    <mergeCell ref="X178:Y178"/>
    <mergeCell ref="Z178:AA178"/>
    <mergeCell ref="AB178:AD178"/>
    <mergeCell ref="X179:Y179"/>
    <mergeCell ref="Z179:AA179"/>
    <mergeCell ref="AB179:AD179"/>
    <mergeCell ref="U179:W179"/>
    <mergeCell ref="U180:W180"/>
    <mergeCell ref="X180:Y180"/>
    <mergeCell ref="Z180:AA180"/>
    <mergeCell ref="AB180:AD180"/>
    <mergeCell ref="U181:W181"/>
    <mergeCell ref="X181:Y181"/>
    <mergeCell ref="X183:Y183"/>
    <mergeCell ref="Z183:AA183"/>
    <mergeCell ref="Z181:AA181"/>
    <mergeCell ref="AB181:AD181"/>
    <mergeCell ref="U182:W182"/>
    <mergeCell ref="X182:Y182"/>
    <mergeCell ref="Z182:AA182"/>
    <mergeCell ref="AB182:AD182"/>
    <mergeCell ref="AB183:AD183"/>
    <mergeCell ref="Z185:AA185"/>
    <mergeCell ref="AB185:AD185"/>
    <mergeCell ref="U183:W183"/>
    <mergeCell ref="U184:W184"/>
    <mergeCell ref="X184:Y184"/>
    <mergeCell ref="Z184:AA184"/>
    <mergeCell ref="AB184:AD184"/>
    <mergeCell ref="U185:W185"/>
    <mergeCell ref="X185:Y185"/>
    <mergeCell ref="U186:W186"/>
    <mergeCell ref="X186:Y186"/>
    <mergeCell ref="Z186:AA186"/>
    <mergeCell ref="AB186:AD186"/>
    <mergeCell ref="X187:Y187"/>
    <mergeCell ref="Z187:AA187"/>
    <mergeCell ref="AB187:AD187"/>
    <mergeCell ref="U187:W187"/>
    <mergeCell ref="U188:W188"/>
    <mergeCell ref="X188:Y188"/>
    <mergeCell ref="Z188:AA188"/>
    <mergeCell ref="AB188:AD188"/>
    <mergeCell ref="U189:W189"/>
    <mergeCell ref="X189:Y189"/>
    <mergeCell ref="X191:Y191"/>
    <mergeCell ref="Z191:AA191"/>
    <mergeCell ref="Z189:AA189"/>
    <mergeCell ref="AB189:AD189"/>
    <mergeCell ref="U190:W190"/>
    <mergeCell ref="X190:Y190"/>
    <mergeCell ref="Z190:AA190"/>
    <mergeCell ref="AB190:AD190"/>
    <mergeCell ref="AB191:AD191"/>
    <mergeCell ref="Z193:AA193"/>
    <mergeCell ref="AB193:AD193"/>
    <mergeCell ref="U191:W191"/>
    <mergeCell ref="U192:W192"/>
    <mergeCell ref="X192:Y192"/>
    <mergeCell ref="Z192:AA192"/>
    <mergeCell ref="AB192:AD192"/>
    <mergeCell ref="U193:W193"/>
    <mergeCell ref="X193:Y193"/>
    <mergeCell ref="X199:Y199"/>
    <mergeCell ref="Z199:AA199"/>
    <mergeCell ref="Z197:AA197"/>
    <mergeCell ref="AB197:AD197"/>
    <mergeCell ref="U198:W198"/>
    <mergeCell ref="X198:Y198"/>
    <mergeCell ref="Z198:AA198"/>
    <mergeCell ref="AB198:AD198"/>
    <mergeCell ref="AB199:AD199"/>
    <mergeCell ref="U194:W194"/>
    <mergeCell ref="X194:Y194"/>
    <mergeCell ref="Z194:AA194"/>
    <mergeCell ref="AB194:AD194"/>
    <mergeCell ref="X195:Y195"/>
    <mergeCell ref="Z195:AA195"/>
    <mergeCell ref="AB195:AD195"/>
    <mergeCell ref="U195:W195"/>
    <mergeCell ref="U196:W196"/>
    <mergeCell ref="X196:Y196"/>
    <mergeCell ref="Z196:AA196"/>
    <mergeCell ref="AB196:AD196"/>
    <mergeCell ref="U197:W197"/>
    <mergeCell ref="X197:Y197"/>
    <mergeCell ref="Z201:AA201"/>
    <mergeCell ref="AB201:AD201"/>
    <mergeCell ref="U199:W199"/>
    <mergeCell ref="U200:W200"/>
    <mergeCell ref="X200:Y200"/>
    <mergeCell ref="Z200:AA200"/>
    <mergeCell ref="AB200:AD200"/>
    <mergeCell ref="U201:W201"/>
    <mergeCell ref="X201:Y201"/>
    <mergeCell ref="U202:W202"/>
    <mergeCell ref="X202:Y202"/>
    <mergeCell ref="Z202:AA202"/>
    <mergeCell ref="AB202:AD202"/>
    <mergeCell ref="X203:Y203"/>
    <mergeCell ref="Z203:AA203"/>
    <mergeCell ref="AB203:AD203"/>
    <mergeCell ref="U203:W203"/>
    <mergeCell ref="U204:W204"/>
    <mergeCell ref="X204:Y204"/>
    <mergeCell ref="Z204:AA204"/>
    <mergeCell ref="AB204:AD204"/>
    <mergeCell ref="U205:W205"/>
    <mergeCell ref="X205:Y205"/>
    <mergeCell ref="X207:Y207"/>
    <mergeCell ref="Z207:AA207"/>
    <mergeCell ref="Z205:AA205"/>
    <mergeCell ref="AB205:AD205"/>
    <mergeCell ref="U206:W206"/>
    <mergeCell ref="X206:Y206"/>
    <mergeCell ref="Z206:AA206"/>
    <mergeCell ref="AB206:AD206"/>
    <mergeCell ref="AB207:AD207"/>
    <mergeCell ref="Z209:AA209"/>
    <mergeCell ref="AB209:AD209"/>
    <mergeCell ref="U207:W207"/>
    <mergeCell ref="U208:W208"/>
    <mergeCell ref="X208:Y208"/>
    <mergeCell ref="Z208:AA208"/>
    <mergeCell ref="AB208:AD208"/>
    <mergeCell ref="U209:W209"/>
    <mergeCell ref="X209:Y209"/>
    <mergeCell ref="X215:Y215"/>
    <mergeCell ref="Z215:AA215"/>
    <mergeCell ref="Z213:AA213"/>
    <mergeCell ref="AB213:AD213"/>
    <mergeCell ref="U214:W214"/>
    <mergeCell ref="X214:Y214"/>
    <mergeCell ref="Z214:AA214"/>
    <mergeCell ref="AB214:AD214"/>
    <mergeCell ref="AB215:AD215"/>
    <mergeCell ref="Z217:AA217"/>
    <mergeCell ref="AB217:AD217"/>
    <mergeCell ref="U215:W215"/>
    <mergeCell ref="U216:W216"/>
    <mergeCell ref="X216:Y216"/>
    <mergeCell ref="Z216:AA216"/>
    <mergeCell ref="AB216:AD216"/>
    <mergeCell ref="U217:W217"/>
    <mergeCell ref="X217:Y217"/>
  </mergeCells>
  <dataValidations>
    <dataValidation type="list" allowBlank="1" showErrorMessage="1" sqref="I12:I238">
      <formula1>"P0 - Critical,P1 - High,P2 - Medium,P3 - Low"</formula1>
    </dataValidation>
    <dataValidation type="list" allowBlank="1" showErrorMessage="1" sqref="Z12:Z238">
      <formula1>"To Be Automate,Manual Only,Already Automate"</formula1>
    </dataValidation>
    <dataValidation type="list" allowBlank="1" showErrorMessage="1" sqref="X12:X238">
      <formula1>"Passed,On Progress,Untested,Blocked,Failed,Retest"</formula1>
    </dataValidation>
  </dataValidations>
  <drawing r:id="rId1"/>
</worksheet>
</file>